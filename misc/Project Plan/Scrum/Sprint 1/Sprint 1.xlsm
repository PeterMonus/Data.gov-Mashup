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4519"/>
</workbook>
</file>

<file path=xl/calcChain.xml><?xml version="1.0" encoding="utf-8"?>
<calcChain xmlns="http://schemas.openxmlformats.org/spreadsheetml/2006/main">
  <c r="K12" i="7"/>
  <c r="BA60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L47"/>
  <c r="K47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L39"/>
  <c r="K39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L31"/>
  <c r="K3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O25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O43"/>
  <c r="R43"/>
  <c r="U43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T7" l="1"/>
  <c r="W7" s="1"/>
  <c r="Z7" s="1"/>
  <c r="AC7" s="1"/>
  <c r="AF7" s="1"/>
  <c r="AI7" s="1"/>
  <c r="AL7" s="1"/>
  <c r="AO7" s="1"/>
  <c r="AR7" s="1"/>
  <c r="AU7" s="1"/>
  <c r="AX7" s="1"/>
  <c r="O60"/>
  <c r="R60" s="1"/>
  <c r="O44"/>
  <c r="R44" s="1"/>
  <c r="U44" s="1"/>
  <c r="G44"/>
  <c r="X44"/>
  <c r="G43"/>
  <c r="X43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U60"/>
  <c r="O59"/>
  <c r="O57"/>
  <c r="O55"/>
  <c r="O53"/>
  <c r="O51"/>
  <c r="R59"/>
  <c r="O58"/>
  <c r="R57"/>
  <c r="O56"/>
  <c r="R55"/>
  <c r="O54"/>
  <c r="R53"/>
  <c r="O52"/>
  <c r="R51"/>
  <c r="O50"/>
  <c r="AA44"/>
  <c r="AA43"/>
  <c r="O48"/>
  <c r="R47"/>
  <c r="O46"/>
  <c r="R45"/>
  <c r="U45" s="1"/>
  <c r="O42"/>
  <c r="R41"/>
  <c r="O40"/>
  <c r="R39"/>
  <c r="O38"/>
  <c r="R37"/>
  <c r="O36"/>
  <c r="R35"/>
  <c r="O34"/>
  <c r="R33"/>
  <c r="O32"/>
  <c r="R31"/>
  <c r="O30"/>
  <c r="R29"/>
  <c r="O28"/>
  <c r="R27"/>
  <c r="O26"/>
  <c r="O24"/>
  <c r="O7"/>
  <c r="O5"/>
  <c r="R23"/>
  <c r="O22"/>
  <c r="R19"/>
  <c r="O18"/>
  <c r="R15"/>
  <c r="U15" s="1"/>
  <c r="O14"/>
  <c r="O12"/>
  <c r="O10"/>
  <c r="O9"/>
  <c r="O8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U59"/>
  <c r="G59" s="1"/>
  <c r="U57"/>
  <c r="G57" s="1"/>
  <c r="R56"/>
  <c r="U56" s="1"/>
  <c r="G56" s="1"/>
  <c r="U55"/>
  <c r="G55" s="1"/>
  <c r="R54"/>
  <c r="U53"/>
  <c r="G53" s="1"/>
  <c r="R52"/>
  <c r="U52" s="1"/>
  <c r="G52" s="1"/>
  <c r="U51"/>
  <c r="G51" s="1"/>
  <c r="R50"/>
  <c r="X57"/>
  <c r="X53"/>
  <c r="R48"/>
  <c r="R46"/>
  <c r="U46" s="1"/>
  <c r="G46" s="1"/>
  <c r="U31"/>
  <c r="G31" s="1"/>
  <c r="R28"/>
  <c r="X31"/>
  <c r="U28"/>
  <c r="G28" s="1"/>
  <c r="R25"/>
  <c r="R24"/>
  <c r="R22"/>
  <c r="U22" s="1"/>
  <c r="G22" s="1"/>
  <c r="R18"/>
  <c r="U18" s="1"/>
  <c r="G18" s="1"/>
  <c r="R14"/>
  <c r="U14" s="1"/>
  <c r="R10"/>
  <c r="R7"/>
  <c r="U7" s="1"/>
  <c r="O6"/>
  <c r="R5"/>
  <c r="U5" s="1"/>
  <c r="R21"/>
  <c r="O20"/>
  <c r="R17"/>
  <c r="O16"/>
  <c r="R13"/>
  <c r="R12"/>
  <c r="O11"/>
  <c r="R9"/>
  <c r="R8"/>
  <c r="U8" s="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X59" l="1"/>
  <c r="U35"/>
  <c r="AD43"/>
  <c r="AD44"/>
  <c r="G15"/>
  <c r="X15"/>
  <c r="G45"/>
  <c r="X45"/>
  <c r="G35"/>
  <c r="X35"/>
  <c r="AG44"/>
  <c r="U25"/>
  <c r="G25" s="1"/>
  <c r="X5"/>
  <c r="AA5" s="1"/>
  <c r="AD5" s="1"/>
  <c r="R11"/>
  <c r="U12"/>
  <c r="X8"/>
  <c r="U10"/>
  <c r="X14"/>
  <c r="R20"/>
  <c r="X22"/>
  <c r="R26"/>
  <c r="U29"/>
  <c r="R34"/>
  <c r="R36"/>
  <c r="R42"/>
  <c r="R49"/>
  <c r="X46"/>
  <c r="AA59"/>
  <c r="U13"/>
  <c r="AA15"/>
  <c r="U17"/>
  <c r="U21"/>
  <c r="G21" s="1"/>
  <c r="U37"/>
  <c r="U39"/>
  <c r="U41"/>
  <c r="AA45"/>
  <c r="U47"/>
  <c r="R58"/>
  <c r="G60"/>
  <c r="X60"/>
  <c r="AA60" s="1"/>
  <c r="X10"/>
  <c r="AA10" s="1"/>
  <c r="U11"/>
  <c r="U9"/>
  <c r="X9" s="1"/>
  <c r="AA9" s="1"/>
  <c r="U27"/>
  <c r="R32"/>
  <c r="AA35"/>
  <c r="R38"/>
  <c r="U48"/>
  <c r="U50"/>
  <c r="X51"/>
  <c r="U54"/>
  <c r="X55"/>
  <c r="X7"/>
  <c r="AA8"/>
  <c r="X11"/>
  <c r="X13"/>
  <c r="AA14"/>
  <c r="AD15"/>
  <c r="AG15" s="1"/>
  <c r="U20"/>
  <c r="G20" s="1"/>
  <c r="X21"/>
  <c r="AA22"/>
  <c r="R6"/>
  <c r="R16"/>
  <c r="X18"/>
  <c r="U24"/>
  <c r="X25"/>
  <c r="AD35"/>
  <c r="X28"/>
  <c r="R30"/>
  <c r="AA31"/>
  <c r="U33"/>
  <c r="R40"/>
  <c r="AD45"/>
  <c r="AA46"/>
  <c r="AG43"/>
  <c r="X48"/>
  <c r="X52"/>
  <c r="AA53"/>
  <c r="X56"/>
  <c r="AA57"/>
  <c r="AA13"/>
  <c r="U19"/>
  <c r="AA21"/>
  <c r="U23"/>
  <c r="AG45"/>
  <c r="R61"/>
  <c r="U61" s="1"/>
  <c r="X61" s="1"/>
  <c r="AA61" s="1"/>
  <c r="AA7" l="1"/>
  <c r="AD7" s="1"/>
  <c r="AG7" s="1"/>
  <c r="AJ7" s="1"/>
  <c r="G7" s="1"/>
  <c r="AD10"/>
  <c r="AD60"/>
  <c r="AG60" s="1"/>
  <c r="G23"/>
  <c r="X23"/>
  <c r="G19"/>
  <c r="X19"/>
  <c r="U30"/>
  <c r="G30" s="1"/>
  <c r="G54"/>
  <c r="G48"/>
  <c r="U32"/>
  <c r="AD9"/>
  <c r="G47"/>
  <c r="X47"/>
  <c r="G39"/>
  <c r="X39"/>
  <c r="G17"/>
  <c r="AD46"/>
  <c r="AG46" s="1"/>
  <c r="U42"/>
  <c r="U36"/>
  <c r="X36" s="1"/>
  <c r="G29"/>
  <c r="X29"/>
  <c r="U26"/>
  <c r="AD8"/>
  <c r="AA48"/>
  <c r="AD48" s="1"/>
  <c r="AA28"/>
  <c r="U6"/>
  <c r="AD28"/>
  <c r="X20"/>
  <c r="AG8"/>
  <c r="AA20"/>
  <c r="AD13"/>
  <c r="AG13" s="1"/>
  <c r="AJ13" s="1"/>
  <c r="G13" s="1"/>
  <c r="AG5"/>
  <c r="AA19"/>
  <c r="AA55"/>
  <c r="AA51"/>
  <c r="AD59"/>
  <c r="AA56"/>
  <c r="AA52"/>
  <c r="AG35"/>
  <c r="X32"/>
  <c r="X17"/>
  <c r="AG10"/>
  <c r="AJ10" s="1"/>
  <c r="G10" s="1"/>
  <c r="AJ44"/>
  <c r="AM44" s="1"/>
  <c r="AP44" s="1"/>
  <c r="AJ45"/>
  <c r="U40"/>
  <c r="G33"/>
  <c r="X33"/>
  <c r="AA33" s="1"/>
  <c r="G24"/>
  <c r="X24"/>
  <c r="G50"/>
  <c r="U38"/>
  <c r="G27"/>
  <c r="X27"/>
  <c r="U58"/>
  <c r="G41"/>
  <c r="X41"/>
  <c r="G37"/>
  <c r="X37"/>
  <c r="AA37" s="1"/>
  <c r="AG59"/>
  <c r="U49"/>
  <c r="U34"/>
  <c r="X12"/>
  <c r="AD31"/>
  <c r="X30"/>
  <c r="AG28"/>
  <c r="AD22"/>
  <c r="AD21"/>
  <c r="AG14"/>
  <c r="AA11"/>
  <c r="AA23"/>
  <c r="X58"/>
  <c r="X54"/>
  <c r="X50"/>
  <c r="AD57"/>
  <c r="AD55"/>
  <c r="AD53"/>
  <c r="AD51"/>
  <c r="X38"/>
  <c r="AA27"/>
  <c r="AA18"/>
  <c r="AD18" s="1"/>
  <c r="U16"/>
  <c r="G16" s="1"/>
  <c r="AA25"/>
  <c r="AA39"/>
  <c r="AJ43"/>
  <c r="AJ15"/>
  <c r="AD61"/>
  <c r="AS44" l="1"/>
  <c r="AJ14"/>
  <c r="G14" s="1"/>
  <c r="AA12"/>
  <c r="G34"/>
  <c r="G49"/>
  <c r="G58"/>
  <c r="G40"/>
  <c r="AV44"/>
  <c r="AY44" s="1"/>
  <c r="AG51"/>
  <c r="AD20"/>
  <c r="AJ8"/>
  <c r="G8" s="1"/>
  <c r="G26"/>
  <c r="G36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A6" s="1"/>
  <c r="AG18"/>
  <c r="AD52"/>
  <c r="AG53"/>
  <c r="AD19"/>
  <c r="AJ35"/>
  <c r="AJ60"/>
  <c r="AD37"/>
  <c r="AD27"/>
  <c r="G38"/>
  <c r="AA38"/>
  <c r="AA17"/>
  <c r="AG55"/>
  <c r="AJ55" s="1"/>
  <c r="AJ5"/>
  <c r="G5" s="1"/>
  <c r="G42"/>
  <c r="AA42"/>
  <c r="AD42" s="1"/>
  <c r="G32"/>
  <c r="AA32"/>
  <c r="AM43"/>
  <c r="AP43" s="1"/>
  <c r="AD23"/>
  <c r="AM13"/>
  <c r="X49"/>
  <c r="AJ59"/>
  <c r="AA58"/>
  <c r="AD38"/>
  <c r="AG23"/>
  <c r="AG25"/>
  <c r="AJ25" s="1"/>
  <c r="AM10"/>
  <c r="AP10" s="1"/>
  <c r="AD11"/>
  <c r="AA50"/>
  <c r="AA54"/>
  <c r="AM15"/>
  <c r="AM45"/>
  <c r="AA30"/>
  <c r="AA40"/>
  <c r="AD40" s="1"/>
  <c r="AA29"/>
  <c r="AD17"/>
  <c r="AD32"/>
  <c r="AG32"/>
  <c r="X16"/>
  <c r="AG52"/>
  <c r="AJ53"/>
  <c r="AM53" s="1"/>
  <c r="AP53" s="1"/>
  <c r="AS53" s="1"/>
  <c r="AV53" s="1"/>
  <c r="AY53" s="1"/>
  <c r="AD56"/>
  <c r="AG57"/>
  <c r="AA41"/>
  <c r="AG61"/>
  <c r="AS10" l="1"/>
  <c r="AV10" s="1"/>
  <c r="AY10" s="1"/>
  <c r="AJ32"/>
  <c r="AM39"/>
  <c r="AM55"/>
  <c r="AP55" s="1"/>
  <c r="AS55" s="1"/>
  <c r="AV55" s="1"/>
  <c r="AY55" s="1"/>
  <c r="BB53"/>
  <c r="BE53" s="1"/>
  <c r="BH53" s="1"/>
  <c r="CE53"/>
  <c r="AP39"/>
  <c r="AS39" s="1"/>
  <c r="AV39" s="1"/>
  <c r="AY39" s="1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J23"/>
  <c r="AG56"/>
  <c r="AJ56" s="1"/>
  <c r="AM56" s="1"/>
  <c r="AP56" s="1"/>
  <c r="AS56" s="1"/>
  <c r="AV56" s="1"/>
  <c r="AY56" s="1"/>
  <c r="CC53"/>
  <c r="AG40"/>
  <c r="AJ40"/>
  <c r="AM40" s="1"/>
  <c r="AP40" s="1"/>
  <c r="AG50"/>
  <c r="AJ50" s="1"/>
  <c r="AM50" s="1"/>
  <c r="AP50" s="1"/>
  <c r="AS50" s="1"/>
  <c r="AV50" s="1"/>
  <c r="AY50" s="1"/>
  <c r="AG38"/>
  <c r="AJ18"/>
  <c r="AD54"/>
  <c r="AS43"/>
  <c r="AP7"/>
  <c r="AS7" s="1"/>
  <c r="AV7" s="1"/>
  <c r="AY7" s="1"/>
  <c r="CE7" s="1"/>
  <c r="AD30"/>
  <c r="AM32"/>
  <c r="AP32"/>
  <c r="AS32" s="1"/>
  <c r="AV32" s="1"/>
  <c r="AY32" s="1"/>
  <c r="AM60"/>
  <c r="AG19"/>
  <c r="AJ52"/>
  <c r="AM52" s="1"/>
  <c r="AP52" s="1"/>
  <c r="AS52" s="1"/>
  <c r="AV52" s="1"/>
  <c r="AY52" s="1"/>
  <c r="AD6"/>
  <c r="AG6" s="1"/>
  <c r="AJ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AG11"/>
  <c r="AJ11" s="1"/>
  <c r="AM5"/>
  <c r="AJ17"/>
  <c r="AD41"/>
  <c r="AG41" s="1"/>
  <c r="AJ41" s="1"/>
  <c r="AM41" s="1"/>
  <c r="AP41" s="1"/>
  <c r="AS41" s="1"/>
  <c r="AG37"/>
  <c r="AJ37" s="1"/>
  <c r="AM37" s="1"/>
  <c r="AP37" s="1"/>
  <c r="AJ57"/>
  <c r="AM57" s="1"/>
  <c r="AP57" s="1"/>
  <c r="AS57" s="1"/>
  <c r="AV57" s="1"/>
  <c r="AY57" s="1"/>
  <c r="CE5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25"/>
  <c r="AV43"/>
  <c r="AY43" s="1"/>
  <c r="AP13"/>
  <c r="AS13" s="1"/>
  <c r="AV13" s="1"/>
  <c r="AY13" s="1"/>
  <c r="AJ61"/>
  <c r="AM9" l="1"/>
  <c r="AP9" s="1"/>
  <c r="AS9" s="1"/>
  <c r="AV9" s="1"/>
  <c r="AY9" s="1"/>
  <c r="CE9" s="1"/>
  <c r="G9"/>
  <c r="AM11"/>
  <c r="AP11" s="1"/>
  <c r="AS11" s="1"/>
  <c r="AV11" s="1"/>
  <c r="AY11" s="1"/>
  <c r="BB11" s="1"/>
  <c r="BE11" s="1"/>
  <c r="BH11" s="1"/>
  <c r="BK11" s="1"/>
  <c r="BN11" s="1"/>
  <c r="BQ11" s="1"/>
  <c r="BT11" s="1"/>
  <c r="BW11" s="1"/>
  <c r="BZ11" s="1"/>
  <c r="CC11" s="1"/>
  <c r="G11"/>
  <c r="AM6"/>
  <c r="AP6" s="1"/>
  <c r="AS6" s="1"/>
  <c r="AV6" s="1"/>
  <c r="AY6" s="1"/>
  <c r="CE6" s="1"/>
  <c r="G6"/>
  <c r="BT15"/>
  <c r="BW15" s="1"/>
  <c r="BZ15" s="1"/>
  <c r="CC15" s="1"/>
  <c r="BN15"/>
  <c r="BQ15" s="1"/>
  <c r="BB15"/>
  <c r="BE15" s="1"/>
  <c r="BH15" s="1"/>
  <c r="BK15" s="1"/>
  <c r="BB10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6"/>
  <c r="BE16" s="1"/>
  <c r="BH16" s="1"/>
  <c r="BK16" s="1"/>
  <c r="BN16" s="1"/>
  <c r="BQ16" s="1"/>
  <c r="BT16" s="1"/>
  <c r="BW16" s="1"/>
  <c r="BZ16" s="1"/>
  <c r="CC16" s="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32"/>
  <c r="BB32"/>
  <c r="BE32" s="1"/>
  <c r="BH32" s="1"/>
  <c r="BK32" s="1"/>
  <c r="BN32" s="1"/>
  <c r="BQ32" s="1"/>
  <c r="BT32" s="1"/>
  <c r="BW32" s="1"/>
  <c r="BZ32" s="1"/>
  <c r="CC32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T29"/>
  <c r="BW29" s="1"/>
  <c r="BZ29" s="1"/>
  <c r="CC29" s="1"/>
  <c r="AG12"/>
  <c r="AJ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CE28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BB57"/>
  <c r="BE57" s="1"/>
  <c r="BH57" s="1"/>
  <c r="BK57" s="1"/>
  <c r="BN57" s="1"/>
  <c r="BQ57" s="1"/>
  <c r="BT57" s="1"/>
  <c r="BW57" s="1"/>
  <c r="BZ57" s="1"/>
  <c r="CC57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W41"/>
  <c r="BZ41" s="1"/>
  <c r="CC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G26"/>
  <c r="AJ26" s="1"/>
  <c r="AM26" s="1"/>
  <c r="AP26" s="1"/>
  <c r="AS26" s="1"/>
  <c r="AV26" s="1"/>
  <c r="AY26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BB9" l="1"/>
  <c r="BE9" s="1"/>
  <c r="BH9" s="1"/>
  <c r="BK9" s="1"/>
  <c r="BN9" s="1"/>
  <c r="BQ9" s="1"/>
  <c r="BT9" s="1"/>
  <c r="BW9" s="1"/>
  <c r="BZ9" s="1"/>
  <c r="CC9"/>
  <c r="AM12"/>
  <c r="AP12" s="1"/>
  <c r="AS12" s="1"/>
  <c r="G12"/>
  <c r="CE11"/>
  <c r="BB6"/>
  <c r="BE6" s="1"/>
  <c r="BH6" s="1"/>
  <c r="BK6" s="1"/>
  <c r="BN6" s="1"/>
  <c r="BQ6" s="1"/>
  <c r="BT6" s="1"/>
  <c r="BW6" s="1"/>
  <c r="BZ6" s="1"/>
  <c r="CC6" s="1"/>
  <c r="BB46"/>
  <c r="BE46" s="1"/>
  <c r="BH46" s="1"/>
  <c r="BK46" s="1"/>
  <c r="BN46" s="1"/>
  <c r="BQ46" s="1"/>
  <c r="BZ46"/>
  <c r="CC46" s="1"/>
  <c r="BT46"/>
  <c r="BW46" s="1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V34"/>
  <c r="AY34" s="1"/>
  <c r="CE34" s="1"/>
  <c r="AS34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CE42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CE30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34"/>
  <c r="BE34" s="1"/>
  <c r="BH34" s="1"/>
  <c r="BK34" s="1"/>
  <c r="BN34" s="1"/>
  <c r="BQ34" s="1"/>
  <c r="BT34" s="1"/>
  <c r="BW34" s="1"/>
  <c r="BZ34" s="1"/>
  <c r="CC34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AV12" l="1"/>
  <c r="AY12" s="1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G61"/>
  <c r="AY61"/>
  <c r="BT61" s="1"/>
  <c r="BW61" s="1"/>
  <c r="BZ61" s="1"/>
  <c r="CC61" s="1"/>
  <c r="BH60" l="1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C20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9"/>
  <c r="G8"/>
  <c r="E2"/>
  <c r="D2" s="1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G17" i="6"/>
  <c r="AZ1" i="7"/>
  <c r="BC1" s="1"/>
  <c r="BF1" s="1"/>
  <c r="BI1" s="1"/>
  <c r="BL1" s="1"/>
  <c r="BO1" s="1"/>
  <c r="BR1" s="1"/>
  <c r="BU1" s="1"/>
  <c r="BX1" s="1"/>
  <c r="CA1" s="1"/>
  <c r="C24" i="9" l="1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7" i="7"/>
  <c r="O4"/>
  <c r="R4" s="1"/>
  <c r="BJ67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7"/>
  <c r="AF67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37"/>
  <c r="N36"/>
  <c r="N22"/>
  <c r="N24"/>
  <c r="N27" s="1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C29" i="9" l="1"/>
  <c r="C30"/>
  <c r="C32"/>
  <c r="C31"/>
  <c r="P28" i="8"/>
  <c r="O29"/>
  <c r="I33"/>
  <c r="I29" s="1"/>
  <c r="J33"/>
  <c r="K33"/>
  <c r="M33"/>
  <c r="N33"/>
  <c r="L33"/>
  <c r="I32"/>
  <c r="G33"/>
  <c r="G32" s="1"/>
  <c r="H33"/>
  <c r="E33"/>
  <c r="F33"/>
  <c r="BB67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C33" i="9" l="1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/>
  <c r="R29" s="1"/>
  <c r="R27"/>
  <c r="R28" s="1"/>
  <c r="R32"/>
  <c r="Q27" l="1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<sst xmlns="http://schemas.openxmlformats.org/spreadsheetml/2006/main" count="346" uniqueCount="157">
  <si>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</si>
  <si>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</si>
  <si>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</si>
  <si>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</si>
  <si>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</si>
  <si>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</si>
  <si>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</si>
  <si>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</si>
  <si>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</si>
  <si>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</si>
  <si>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</si>
  <si>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</si>
  <si>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</si>
  <si>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</si>
  <si>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</si>
  <si>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</si>
  <si>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</si>
  <si>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</si>
  <si>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</si>
  <si>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</si>
  <si>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</si>
  <si>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</si>
  <si>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</si>
  <si>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</si>
  <si>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</si>
  <si>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</si>
  <si>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</si>
  <si>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</si>
  <si>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</si>
  <si>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</si>
  <si>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</si>
  <si>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</si>
  <si>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</si>
  <si>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</si>
  <si>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</si>
  <si>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</si>
  <si>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</si>
  <si>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</si>
  <si>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</si>
  <si>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</si>
  <si>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</si>
  <si>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</si>
  <si>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</si>
  <si>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</si>
  <si>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</si>
  <si>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</si>
  <si>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</si>
  <si>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</si>
  <si>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</si>
  <si>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</si>
  <si>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</si>
  <si>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</si>
  <si>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</si>
  <si>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</si>
  <si>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</si>
  <si>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</si>
  <si>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</si>
  <si>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</si>
  <si>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</si>
  <si>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</si>
  <si>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</si>
  <si>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</si>
  <si>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</si>
  <si>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</si>
  <si>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</si>
  <si>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</si>
  <si>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</si>
  <si>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</si>
  <si>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</si>
  <si>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</si>
  <si>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</si>
  <si>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</si>
  <si>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</si>
  <si>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</si>
  <si>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</si>
  <si>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</si>
  <si>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</si>
  <si>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</si>
  <si>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</si>
  <si>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</si>
  <si>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</si>
  <si>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</si>
  <si>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</si>
  <si>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</si>
  <si>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</si>
  <si>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</si>
  <si>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</si>
  <si>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</si>
  <si>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</si>
  <si>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</si>
  <si>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</si>
  <si>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</si>
  <si>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</si>
  <si>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</si>
  <si>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</si>
  <si>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</si>
  <si>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</si>
  <si>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</si>
  <si>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</si>
  <si>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</si>
  <si>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</si>
  <si>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</si>
  <si>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</si>
  <si>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</si>
  <si>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</si>
  <si>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</si>
  <si>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</si>
  <si>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</si>
  <si>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</si>
  <si>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</si>
  <si>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</si>
  <si>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</si>
  <si>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</si>
  <si>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</si>
  <si>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</si>
  <si>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</si>
  <si>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</si>
  <si>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</si>
  <si>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</si>
  <si>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</si>
  <si>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</si>
  <si>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</si>
  <si>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</si>
  <si>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</si>
  <si>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</si>
  <si>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</si>
  <si>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</si>
  <si>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</si>
  <si>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</si>
  <si>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</si>
  <si>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</si>
  <si>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</si>
  <si>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Irfan</t>
  </si>
  <si>
    <t>Peter</t>
  </si>
  <si>
    <t>Liam</t>
  </si>
  <si>
    <t>Riemke</t>
  </si>
  <si>
    <t>0403 370 225</t>
  </si>
  <si>
    <t>N/A</t>
  </si>
  <si>
    <t>1</t>
  </si>
  <si>
    <t>Refing Datasets</t>
  </si>
  <si>
    <t>Refing MetaData</t>
  </si>
  <si>
    <t>Design Banner</t>
  </si>
  <si>
    <t>2</t>
  </si>
  <si>
    <t>Design HomePage</t>
  </si>
  <si>
    <t>Design Mobile Version</t>
  </si>
  <si>
    <t>Writing CSS</t>
  </si>
  <si>
    <t>Data Manipulation Procedures</t>
  </si>
  <si>
    <t>Data Access Layer</t>
  </si>
  <si>
    <t>Bussiness Logic Layer</t>
  </si>
  <si>
    <t>3</t>
  </si>
  <si>
    <t>4</t>
  </si>
  <si>
    <t>5</t>
  </si>
  <si>
    <t>6</t>
  </si>
  <si>
    <t>7</t>
  </si>
  <si>
    <t>FM</t>
  </si>
  <si>
    <t>Creating HTML Page Layouts</t>
  </si>
  <si>
    <t>JavaScript Functions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</si>
</sst>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55</c:v>
                </c:pt>
                <c:pt idx="1">
                  <c:v>54</c:v>
                </c:pt>
                <c:pt idx="2">
                  <c:v>54</c:v>
                </c:pt>
                <c:pt idx="3">
                  <c:v>53</c:v>
                </c:pt>
                <c:pt idx="4">
                  <c:v>49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3559424"/>
        <c:axId val="73574272"/>
      </c:areaChart>
      <c:catAx>
        <c:axId val="73559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9153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357427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357427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7355942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757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33" l="0.70000000000000062" r="0.70000000000000062" t="0.75000000000000533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23"/>
          <c:y val="0.17669172932330818"/>
          <c:w val="0.87100657289633654"/>
          <c:h val="0.46992481203007852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14</c:v>
                </c:pt>
                <c:pt idx="3">
                  <c:v>14</c:v>
                </c:pt>
                <c:pt idx="4">
                  <c:v>22</c:v>
                </c:pt>
                <c:pt idx="5">
                  <c:v>38</c:v>
                </c:pt>
                <c:pt idx="6">
                  <c:v>34</c:v>
                </c:pt>
                <c:pt idx="7">
                  <c:v>38</c:v>
                </c:pt>
                <c:pt idx="8">
                  <c:v>38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18</c:v>
                </c:pt>
                <c:pt idx="1">
                  <c:v>16</c:v>
                </c:pt>
                <c:pt idx="2">
                  <c:v>8</c:v>
                </c:pt>
                <c:pt idx="3">
                  <c:v>16</c:v>
                </c:pt>
                <c:pt idx="4">
                  <c:v>34</c:v>
                </c:pt>
                <c:pt idx="5">
                  <c:v>28</c:v>
                </c:pt>
                <c:pt idx="6">
                  <c:v>32</c:v>
                </c:pt>
                <c:pt idx="7">
                  <c:v>28</c:v>
                </c:pt>
                <c:pt idx="8">
                  <c:v>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48</c:v>
                </c:pt>
                <c:pt idx="1">
                  <c:v>44</c:v>
                </c:pt>
                <c:pt idx="2">
                  <c:v>44</c:v>
                </c:pt>
                <c:pt idx="3">
                  <c:v>36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3783168"/>
        <c:axId val="73789824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61</c:v>
                </c:pt>
                <c:pt idx="1">
                  <c:v>53</c:v>
                </c:pt>
                <c:pt idx="2">
                  <c:v>48</c:v>
                </c:pt>
                <c:pt idx="3">
                  <c:v>46</c:v>
                </c:pt>
                <c:pt idx="4">
                  <c:v>31</c:v>
                </c:pt>
                <c:pt idx="5">
                  <c:v>14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5</c:v>
                </c:pt>
                <c:pt idx="1">
                  <c:v>13</c:v>
                </c:pt>
                <c:pt idx="2">
                  <c:v>18</c:v>
                </c:pt>
                <c:pt idx="3">
                  <c:v>20</c:v>
                </c:pt>
                <c:pt idx="4">
                  <c:v>35</c:v>
                </c:pt>
                <c:pt idx="5">
                  <c:v>52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marker val="1"/>
        <c:axId val="73783168"/>
        <c:axId val="73789824"/>
      </c:lineChart>
      <c:catAx>
        <c:axId val="73783168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37898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3789824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92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37831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33" l="0.70000000000000062" r="0.70000000000000062" t="0.75000000000000533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3988352"/>
        <c:axId val="73994240"/>
      </c:barChart>
      <c:catAx>
        <c:axId val="73988352"/>
        <c:scaling>
          <c:orientation val="minMax"/>
        </c:scaling>
        <c:axPos val="b"/>
        <c:tickLblPos val="nextTo"/>
        <c:crossAx val="73994240"/>
        <c:crosses val="autoZero"/>
        <c:auto val="1"/>
        <c:lblAlgn val="ctr"/>
        <c:lblOffset val="100"/>
      </c:catAx>
      <c:valAx>
        <c:axId val="73994240"/>
        <c:scaling>
          <c:orientation val="minMax"/>
        </c:scaling>
        <c:axPos val="l"/>
        <c:majorGridlines/>
        <c:numFmt formatCode="0%" sourceLinked="1"/>
        <c:tickLblPos val="nextTo"/>
        <c:crossAx val="7398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4148864"/>
        <c:axId val="74154752"/>
      </c:barChart>
      <c:catAx>
        <c:axId val="74148864"/>
        <c:scaling>
          <c:orientation val="minMax"/>
        </c:scaling>
        <c:axPos val="b"/>
        <c:tickLblPos val="nextTo"/>
        <c:crossAx val="74154752"/>
        <c:crosses val="autoZero"/>
        <c:auto val="1"/>
        <c:lblAlgn val="ctr"/>
        <c:lblOffset val="100"/>
      </c:catAx>
      <c:valAx>
        <c:axId val="74154752"/>
        <c:scaling>
          <c:orientation val="minMax"/>
        </c:scaling>
        <c:axPos val="l"/>
        <c:majorGridlines/>
        <c:numFmt formatCode="0%" sourceLinked="1"/>
        <c:tickLblPos val="nextTo"/>
        <c:crossAx val="7414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4193920"/>
        <c:axId val="74203904"/>
      </c:barChart>
      <c:catAx>
        <c:axId val="74193920"/>
        <c:scaling>
          <c:orientation val="minMax"/>
        </c:scaling>
        <c:axPos val="b"/>
        <c:tickLblPos val="nextTo"/>
        <c:crossAx val="74203904"/>
        <c:crosses val="autoZero"/>
        <c:auto val="1"/>
        <c:lblAlgn val="ctr"/>
        <c:lblOffset val="100"/>
      </c:catAx>
      <c:valAx>
        <c:axId val="74203904"/>
        <c:scaling>
          <c:orientation val="minMax"/>
        </c:scaling>
        <c:axPos val="l"/>
        <c:majorGridlines/>
        <c:numFmt formatCode="0%" sourceLinked="1"/>
        <c:tickLblPos val="nextTo"/>
        <c:crossAx val="741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Y15" sqref="Y15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41190</v>
      </c>
      <c r="H1" s="1"/>
      <c r="I1" s="1"/>
      <c r="J1" s="188">
        <f>SprintStart</f>
        <v>41190</v>
      </c>
      <c r="K1" s="188"/>
      <c r="L1" s="188"/>
      <c r="M1" s="188">
        <f>IF(AND(SkipWeekends, WEEKDAY(J1)=6),J1+3, J1+1)</f>
        <v>41191</v>
      </c>
      <c r="N1" s="188"/>
      <c r="O1" s="188"/>
      <c r="P1" s="188">
        <f>IF(AND(SkipWeekends, WEEKDAY(M1)=6),M1+3, M1+1)</f>
        <v>41192</v>
      </c>
      <c r="Q1" s="188"/>
      <c r="R1" s="188"/>
      <c r="S1" s="188">
        <f>IF(AND(SkipWeekends, WEEKDAY(P1)=6),P1+3, P1+1)</f>
        <v>41193</v>
      </c>
      <c r="T1" s="188"/>
      <c r="U1" s="188"/>
      <c r="V1" s="188">
        <f>IF(AND(SkipWeekends, WEEKDAY(S1)=6),S1+3, S1+1)</f>
        <v>41194</v>
      </c>
      <c r="W1" s="188"/>
      <c r="X1" s="188"/>
      <c r="Y1" s="188">
        <f>IF(AND(SkipWeekends, WEEKDAY(V1)=6),V1+3, V1+1)</f>
        <v>41195</v>
      </c>
      <c r="Z1" s="188"/>
      <c r="AA1" s="188"/>
      <c r="AB1" s="188">
        <f>IF(AND(SkipWeekends, WEEKDAY(Y1)=6),Y1+3, Y1+1)</f>
        <v>41196</v>
      </c>
      <c r="AC1" s="188"/>
      <c r="AD1" s="188"/>
      <c r="AE1" s="188">
        <f>IF(AND(SkipWeekends, WEEKDAY(AB1)=6),AB1+3, AB1+1)</f>
        <v>41197</v>
      </c>
      <c r="AF1" s="188"/>
      <c r="AG1" s="188"/>
      <c r="AH1" s="188">
        <f>IF(AND(SkipWeekends, WEEKDAY(AE1)=6),AE1+3, AE1+1)</f>
        <v>41198</v>
      </c>
      <c r="AI1" s="188"/>
      <c r="AJ1" s="188"/>
      <c r="AK1" s="188">
        <f>IF(AND(SkipWeekends, WEEKDAY(AH1)=6),AH1+3, AH1+1)</f>
        <v>41199</v>
      </c>
      <c r="AL1" s="188"/>
      <c r="AM1" s="188"/>
      <c r="AN1" s="188">
        <f>IF(AND(SkipWeekends, WEEKDAY(AK1)=6),AK1+3, AK1+1)</f>
        <v>41200</v>
      </c>
      <c r="AO1" s="188"/>
      <c r="AP1" s="188"/>
      <c r="AQ1" s="188">
        <f>IF(AND(SkipWeekends, WEEKDAY(AN1)=6),AN1+3, AN1+1)</f>
        <v>41201</v>
      </c>
      <c r="AR1" s="188"/>
      <c r="AS1" s="188"/>
      <c r="AT1" s="188">
        <f>IF(AND(SkipWeekends, WEEKDAY(AQ1)=6),AQ1+3, AQ1+1)</f>
        <v>41202</v>
      </c>
      <c r="AU1" s="188"/>
      <c r="AV1" s="188"/>
      <c r="AW1" s="188">
        <f>IF(AND(SkipWeekends, WEEKDAY(AT1)=6),AT1+3, AT1+1)</f>
        <v>41203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100</v>
      </c>
      <c r="B3" s="11" t="s">
        <v>101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105</v>
      </c>
      <c r="B4" s="16" t="s">
        <v>108</v>
      </c>
      <c r="C4" s="16" t="s">
        <v>138</v>
      </c>
      <c r="D4" s="17">
        <v>1.1000000000000001</v>
      </c>
      <c r="E4" s="178" t="s">
        <v>139</v>
      </c>
      <c r="F4" s="18" t="s">
        <v>132</v>
      </c>
      <c r="G4" s="19" t="str">
        <f t="shared" ref="G4:G61" ca="1" si="0">(INDEX(Burndown,ROW(G4)-ROW(G$3),MIN(TODAY()-SprintStart,29)*3+3))</f>
        <v>Complete</v>
      </c>
      <c r="H4" s="20">
        <v>1</v>
      </c>
      <c r="I4" s="21">
        <v>4</v>
      </c>
      <c r="J4" s="22">
        <v>1</v>
      </c>
      <c r="K4" s="22">
        <f t="shared" ref="K4" si="1">MAX(I4-J4, 0)</f>
        <v>3</v>
      </c>
      <c r="L4" s="23" t="str">
        <f>IF(SUMPRODUCT($J$64:K$64,$J4:K4)&lt;0.5, "Pending", IF(K4&lt;0.5, "Complete", "In Progress"))</f>
        <v>In Progress</v>
      </c>
      <c r="M4" s="22">
        <v>1</v>
      </c>
      <c r="N4" s="22">
        <f t="shared" ref="N4" si="2">MAX(K4-M4,0)</f>
        <v>2</v>
      </c>
      <c r="O4" s="23" t="str">
        <f>IF(SUMPRODUCT($J$64:N$64,$J4:N4)&lt;0.5, "Pending", IF(N4&lt;0.5, "Complete", "In Progress"))</f>
        <v>In Progress</v>
      </c>
      <c r="P4" s="22">
        <v>0</v>
      </c>
      <c r="Q4" s="22">
        <f t="shared" ref="Q4" si="3">MAX(N4-P4,0)</f>
        <v>2</v>
      </c>
      <c r="R4" s="23" t="str">
        <f>IF(SUMPRODUCT($J$64:Q$64,$J4:Q4)&lt;0.5, "Pending", IF(Q4&lt;0.5, "Complete", "In Progress"))</f>
        <v>In Progress</v>
      </c>
      <c r="S4" s="22">
        <v>0</v>
      </c>
      <c r="T4" s="22">
        <f t="shared" ref="T4" si="4">MAX(Q4-S4,0)</f>
        <v>2</v>
      </c>
      <c r="U4" s="23" t="str">
        <f>IF(SUMPRODUCT($J$64:T$64,$J4:T4)&lt;0.5, "Pending", IF(T4&lt;0.5, "Complete", "In Progress"))</f>
        <v>In Progress</v>
      </c>
      <c r="V4" s="22">
        <v>2</v>
      </c>
      <c r="W4" s="22">
        <f t="shared" ref="W4" si="5">MAX(T4-V4,0)</f>
        <v>0</v>
      </c>
      <c r="X4" s="23" t="str">
        <f>IF(SUMPRODUCT($J$64:W$64,$J4:W4)&lt;0.5,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4</v>
      </c>
    </row>
    <row r="5" spans="1:83">
      <c r="A5" s="16" t="s">
        <v>105</v>
      </c>
      <c r="B5" s="16" t="s">
        <v>108</v>
      </c>
      <c r="C5" s="16" t="s">
        <v>138</v>
      </c>
      <c r="D5" s="17">
        <v>1.2</v>
      </c>
      <c r="E5" s="178" t="s">
        <v>140</v>
      </c>
      <c r="F5" s="18" t="s">
        <v>133</v>
      </c>
      <c r="G5" s="19" t="str">
        <f t="shared" ca="1" si="0"/>
        <v>Complete</v>
      </c>
      <c r="H5" s="20">
        <v>1</v>
      </c>
      <c r="I5" s="21">
        <v>4</v>
      </c>
      <c r="J5" s="22">
        <v>0</v>
      </c>
      <c r="K5" s="22">
        <f t="shared" ref="K5:K60" si="24">MAX(I5-J5, 0)</f>
        <v>4</v>
      </c>
      <c r="L5" s="23" t="str">
        <f>IF(SUMPRODUCT($J$64:K$64,$J5:K5)&lt;0.5, "Pending", IF(K5&lt;0.5, "Complete", "In Progress"))</f>
        <v>Pending</v>
      </c>
      <c r="M5" s="22">
        <v>1</v>
      </c>
      <c r="N5" s="22">
        <f t="shared" ref="N5:N60" si="25">MAX(K5-M5,0)</f>
        <v>3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26">MAX(N5-P5,0)</f>
        <v>2</v>
      </c>
      <c r="R5" s="23" t="str">
        <f>IF(SUMPRODUCT($J$64:Q$64,$J5:Q5)&lt;0.5, "Pending", IF(Q5&lt;0.5, "Complete", "In Progress"))</f>
        <v>In Progress</v>
      </c>
      <c r="S5" s="22">
        <v>0</v>
      </c>
      <c r="T5" s="22">
        <f t="shared" ref="T5:T60" si="27">MAX(Q5-S5,0)</f>
        <v>2</v>
      </c>
      <c r="U5" s="23" t="str">
        <f>IF(SUMPRODUCT($J$64:T$64,$J5:T5)&lt;0.5, "Pending", IF(T5&lt;0.5, "Complete", "In Progress"))</f>
        <v>In Progress</v>
      </c>
      <c r="V5" s="22">
        <v>2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4</v>
      </c>
    </row>
    <row r="6" spans="1:83">
      <c r="A6" s="16" t="s">
        <v>105</v>
      </c>
      <c r="B6" s="16" t="s">
        <v>116</v>
      </c>
      <c r="C6" s="16" t="s">
        <v>142</v>
      </c>
      <c r="D6" s="17">
        <v>2.1</v>
      </c>
      <c r="E6" s="178" t="s">
        <v>141</v>
      </c>
      <c r="F6" s="18" t="s">
        <v>135</v>
      </c>
      <c r="G6" s="19" t="str">
        <f t="shared" ca="1" si="0"/>
        <v>Complete</v>
      </c>
      <c r="H6" s="20">
        <v>1</v>
      </c>
      <c r="I6" s="21">
        <v>6</v>
      </c>
      <c r="J6" s="22">
        <v>2</v>
      </c>
      <c r="K6" s="22">
        <f t="shared" si="24"/>
        <v>4</v>
      </c>
      <c r="L6" s="23" t="str">
        <f>IF(SUMPRODUCT($J$64:K$64,$J6:K6)&lt;0.5, "Pending", IF(K6&lt;0.5, "Complete", "In Progress"))</f>
        <v>In Progress</v>
      </c>
      <c r="M6" s="22">
        <v>4</v>
      </c>
      <c r="N6" s="22">
        <f t="shared" si="25"/>
        <v>0</v>
      </c>
      <c r="O6" s="23" t="str">
        <f>IF(SUMPRODUCT($J$64:N$64,$J6:N6)&lt;0.5, "Pending", IF(N6&lt;0.5, "Complete", "In Progress"))</f>
        <v>Complete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Complete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Complete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Complete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6</v>
      </c>
    </row>
    <row r="7" spans="1:83">
      <c r="A7" s="16" t="s">
        <v>105</v>
      </c>
      <c r="B7" s="16" t="s">
        <v>114</v>
      </c>
      <c r="C7" s="16" t="s">
        <v>142</v>
      </c>
      <c r="D7" s="17">
        <v>2.2000000000000002</v>
      </c>
      <c r="E7" s="178" t="s">
        <v>143</v>
      </c>
      <c r="F7" s="18" t="s">
        <v>135</v>
      </c>
      <c r="G7" s="19" t="str">
        <f t="shared" ca="1" si="0"/>
        <v>Complete</v>
      </c>
      <c r="H7" s="20">
        <v>1</v>
      </c>
      <c r="I7" s="21">
        <v>8</v>
      </c>
      <c r="J7" s="22">
        <v>2</v>
      </c>
      <c r="K7" s="22">
        <f t="shared" si="24"/>
        <v>6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25"/>
        <v>4</v>
      </c>
      <c r="O7" s="23" t="str">
        <f>IF(SUMPRODUCT($J$64:N$64,$J7:N7)&lt;0.5, "Pending", IF(N7&lt;0.5, "Complete", "In Progress"))</f>
        <v>In Progress</v>
      </c>
      <c r="P7" s="22">
        <v>4</v>
      </c>
      <c r="Q7" s="22">
        <f t="shared" si="26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8</v>
      </c>
    </row>
    <row r="8" spans="1:83">
      <c r="A8" s="16" t="s">
        <v>105</v>
      </c>
      <c r="B8" s="16" t="s">
        <v>116</v>
      </c>
      <c r="C8" s="16" t="s">
        <v>142</v>
      </c>
      <c r="D8" s="17">
        <v>2.2999999999999998</v>
      </c>
      <c r="E8" s="178" t="s">
        <v>144</v>
      </c>
      <c r="F8" s="18" t="s">
        <v>135</v>
      </c>
      <c r="G8" s="19" t="str">
        <f t="shared" ca="1" si="0"/>
        <v>In Progress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IF(SUMPRODUCT($J$64:Q$64,$J8:Q8)&lt;0.5, "Pending", IF(Q8&lt;0.5, "Complete", "In Progress"))</f>
        <v>Pending</v>
      </c>
      <c r="S8" s="22">
        <v>2</v>
      </c>
      <c r="T8" s="22">
        <f t="shared" si="27"/>
        <v>6</v>
      </c>
      <c r="U8" s="23" t="str">
        <f>IF(SUMPRODUCT($J$64:T$64,$J8:T8)&lt;0.5, "Pending", IF(T8&lt;0.5, "Complete", "In Progress"))</f>
        <v>In Progress</v>
      </c>
      <c r="V8" s="22">
        <v>2</v>
      </c>
      <c r="W8" s="22">
        <f t="shared" si="28"/>
        <v>4</v>
      </c>
      <c r="X8" s="23" t="str">
        <f>IF(SUMPRODUCT($J$64:W$64,$J8:W8)&lt;0.5, "Pending", IF(W8&lt;0.5, "Complete", "In Progress"))</f>
        <v>In Progress</v>
      </c>
      <c r="Y8" s="22">
        <v>0</v>
      </c>
      <c r="Z8" s="22">
        <f t="shared" si="29"/>
        <v>4</v>
      </c>
      <c r="AA8" s="23" t="str">
        <f>IF(SUMPRODUCT($J$64:Z$64,$J8:Z8)&lt;0.5, "Pending", IF(Z8&lt;0.5, "Complete", "In Progress"))</f>
        <v>In Progress</v>
      </c>
      <c r="AB8" s="22">
        <v>0</v>
      </c>
      <c r="AC8" s="22">
        <f t="shared" si="30"/>
        <v>4</v>
      </c>
      <c r="AD8" s="23" t="str">
        <f>IF(SUMPRODUCT($J$64:AC$64,$J8:AC8)&lt;0.5, "Pending", IF(AC8&lt;0.5, "Complete", "In Progress"))</f>
        <v>In Progress</v>
      </c>
      <c r="AE8" s="22">
        <v>0</v>
      </c>
      <c r="AF8" s="22">
        <f t="shared" si="31"/>
        <v>4</v>
      </c>
      <c r="AG8" s="23" t="str">
        <f>IF(SUMPRODUCT($J$64:AF$64,$J8:AF8)&lt;0.5, "Pending", IF(AF8&lt;0.5, "Complete", "In Progress"))</f>
        <v>In Progress</v>
      </c>
      <c r="AH8" s="22">
        <v>0</v>
      </c>
      <c r="AI8" s="22">
        <f t="shared" si="32"/>
        <v>4</v>
      </c>
      <c r="AJ8" s="23" t="str">
        <f>IF(SUMPRODUCT($J$64:AI$64,$J8:AI8)&lt;0.5, "Pending", IF(AI8&lt;0.5, "Complete", "In Progress"))</f>
        <v>In Progress</v>
      </c>
      <c r="AK8" s="22">
        <v>0</v>
      </c>
      <c r="AL8" s="22">
        <f t="shared" si="33"/>
        <v>4</v>
      </c>
      <c r="AM8" s="23" t="str">
        <f>IF(SUMPRODUCT($J$64:AL$64,$J8:AL8)&lt;0.5, "Pending", IF(AL8&lt;0.5, "Complete", "In Progress"))</f>
        <v>In Progress</v>
      </c>
      <c r="AN8" s="22">
        <v>0</v>
      </c>
      <c r="AO8" s="22">
        <f t="shared" si="34"/>
        <v>4</v>
      </c>
      <c r="AP8" s="23" t="str">
        <f>IF(SUMPRODUCT($J$64:AO$64,$J8:AO8)&lt;0.5, "Pending", IF(AO8&lt;0.5, "Complete", "In Progress"))</f>
        <v>In Progress</v>
      </c>
      <c r="AQ8" s="22">
        <v>0</v>
      </c>
      <c r="AR8" s="22">
        <f t="shared" si="35"/>
        <v>4</v>
      </c>
      <c r="AS8" s="23" t="str">
        <f>IF(SUMPRODUCT($J$64:AR$64,$J8:AR8)&lt;0.5, "Pending", IF(AR8&lt;0.5, "Complete", "In Progress"))</f>
        <v>In Progress</v>
      </c>
      <c r="AT8" s="22">
        <v>0</v>
      </c>
      <c r="AU8" s="22">
        <f t="shared" si="36"/>
        <v>4</v>
      </c>
      <c r="AV8" s="23" t="str">
        <f>IF(SUMPRODUCT($J$64:AU$64,$J8:AU8)&lt;0.5, "Pending", IF(AU8&lt;0.5, "Complete", "In Progress"))</f>
        <v>In Progress</v>
      </c>
      <c r="AW8" s="22">
        <v>0</v>
      </c>
      <c r="AX8" s="22">
        <f t="shared" si="37"/>
        <v>4</v>
      </c>
      <c r="AY8" s="23" t="str">
        <f>IF(SUMPRODUCT($J$64:AX$64,$J8:AX8)&lt;0.5, "Pending", IF(AX8&lt;0.5, "Complete", "In Progress"))</f>
        <v>In Progress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4</v>
      </c>
    </row>
    <row r="9" spans="1:83">
      <c r="A9" s="16" t="s">
        <v>105</v>
      </c>
      <c r="B9" s="16" t="s">
        <v>114</v>
      </c>
      <c r="C9" s="16" t="s">
        <v>149</v>
      </c>
      <c r="D9" s="17">
        <v>3.1</v>
      </c>
      <c r="E9" s="178" t="s">
        <v>145</v>
      </c>
      <c r="F9" s="18" t="s">
        <v>132</v>
      </c>
      <c r="G9" s="19" t="str">
        <f t="shared" ca="1" si="0"/>
        <v>In Progress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4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4</v>
      </c>
      <c r="U9" s="23" t="str">
        <f>IF(SUMPRODUCT($J$64:T$64,$J9:T9)&lt;0.5, "Pending", IF(T9&lt;0.5, "Complete", "In Progress"))</f>
        <v>Pending</v>
      </c>
      <c r="V9" s="22">
        <v>1</v>
      </c>
      <c r="W9" s="22">
        <f t="shared" si="28"/>
        <v>3</v>
      </c>
      <c r="X9" s="23" t="str">
        <f>IF(SUMPRODUCT($J$64:W$64,$J9:W9)&lt;0.5, "Pending", IF(W9&lt;0.5, "Complete", "In Progress"))</f>
        <v>In Progress</v>
      </c>
      <c r="Y9" s="22">
        <v>2</v>
      </c>
      <c r="Z9" s="22">
        <f t="shared" si="29"/>
        <v>1</v>
      </c>
      <c r="AA9" s="23" t="str">
        <f>IF(SUMPRODUCT($J$64:Z$64,$J9:Z9)&lt;0.5, "Pending", IF(Z9&lt;0.5, "Complete", "In Progress"))</f>
        <v>In Progress</v>
      </c>
      <c r="AB9" s="22">
        <v>0</v>
      </c>
      <c r="AC9" s="22">
        <f t="shared" si="30"/>
        <v>1</v>
      </c>
      <c r="AD9" s="23" t="str">
        <f>IF(SUMPRODUCT($J$64:AC$64,$J9:AC9)&lt;0.5, "Pending", IF(AC9&lt;0.5, "Complete", "In Progress"))</f>
        <v>In Progress</v>
      </c>
      <c r="AE9" s="22">
        <v>0</v>
      </c>
      <c r="AF9" s="22">
        <f t="shared" si="31"/>
        <v>1</v>
      </c>
      <c r="AG9" s="23" t="str">
        <f>IF(SUMPRODUCT($J$64:AF$64,$J9:AF9)&lt;0.5, "Pending", IF(AF9&lt;0.5, "Complete", "In Progress"))</f>
        <v>In Progress</v>
      </c>
      <c r="AH9" s="22">
        <v>0</v>
      </c>
      <c r="AI9" s="22">
        <f t="shared" si="32"/>
        <v>1</v>
      </c>
      <c r="AJ9" s="23" t="str">
        <f>IF(SUMPRODUCT($J$64:AI$64,$J9:AI9)&lt;0.5, "Pending", IF(AI9&lt;0.5, "Complete", "In Progress"))</f>
        <v>In Progress</v>
      </c>
      <c r="AK9" s="22">
        <v>0</v>
      </c>
      <c r="AL9" s="22">
        <f t="shared" si="33"/>
        <v>1</v>
      </c>
      <c r="AM9" s="23" t="str">
        <f>IF(SUMPRODUCT($J$64:AL$64,$J9:AL9)&lt;0.5, "Pending", IF(AL9&lt;0.5, "Complete", "In Progress"))</f>
        <v>In Progress</v>
      </c>
      <c r="AN9" s="22">
        <v>0</v>
      </c>
      <c r="AO9" s="22">
        <f t="shared" si="34"/>
        <v>1</v>
      </c>
      <c r="AP9" s="23" t="str">
        <f>IF(SUMPRODUCT($J$64:AO$64,$J9:AO9)&lt;0.5, "Pending", IF(AO9&lt;0.5, "Complete", "In Progress"))</f>
        <v>In Progress</v>
      </c>
      <c r="AQ9" s="22">
        <v>0</v>
      </c>
      <c r="AR9" s="22">
        <f t="shared" si="35"/>
        <v>1</v>
      </c>
      <c r="AS9" s="23" t="str">
        <f>IF(SUMPRODUCT($J$64:AR$64,$J9:AR9)&lt;0.5, "Pending", IF(AR9&lt;0.5, "Complete", "In Progress"))</f>
        <v>In Progress</v>
      </c>
      <c r="AT9" s="22">
        <v>0</v>
      </c>
      <c r="AU9" s="22">
        <f t="shared" si="36"/>
        <v>1</v>
      </c>
      <c r="AV9" s="23" t="str">
        <f>IF(SUMPRODUCT($J$64:AU$64,$J9:AU9)&lt;0.5, "Pending", IF(AU9&lt;0.5, "Complete", "In Progress"))</f>
        <v>In Progress</v>
      </c>
      <c r="AW9" s="22">
        <v>0</v>
      </c>
      <c r="AX9" s="22">
        <f t="shared" si="37"/>
        <v>1</v>
      </c>
      <c r="AY9" s="23" t="str">
        <f>IF(SUMPRODUCT($J$64:AX$64,$J9:AX9)&lt;0.5, "Pending", IF(AX9&lt;0.5, "Complete", "In Progress"))</f>
        <v>In Progress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3</v>
      </c>
    </row>
    <row r="10" spans="1:83">
      <c r="A10" s="16" t="s">
        <v>105</v>
      </c>
      <c r="B10" s="16" t="s">
        <v>108</v>
      </c>
      <c r="C10" s="16" t="s">
        <v>150</v>
      </c>
      <c r="D10" s="17">
        <v>4.0999999999999996</v>
      </c>
      <c r="E10" s="178" t="s">
        <v>146</v>
      </c>
      <c r="F10" s="18" t="s">
        <v>134</v>
      </c>
      <c r="G10" s="19" t="str">
        <f t="shared" ca="1" si="0"/>
        <v>Complete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4</v>
      </c>
      <c r="U10" s="23" t="str">
        <f>IF(SUMPRODUCT($J$64:T$64,$J10:T10)&lt;0.5, "Pending", IF(T10&lt;0.5, "Complete", "In Progress"))</f>
        <v>Pending</v>
      </c>
      <c r="V10" s="22">
        <v>2</v>
      </c>
      <c r="W10" s="22">
        <f t="shared" si="28"/>
        <v>2</v>
      </c>
      <c r="X10" s="23" t="str">
        <f>IF(SUMPRODUCT($J$64:W$64,$J10:W10)&lt;0.5, "Pending", IF(W10&lt;0.5, "Complete", "In Progress"))</f>
        <v>In Progress</v>
      </c>
      <c r="Y10" s="22">
        <v>2</v>
      </c>
      <c r="Z10" s="22">
        <f t="shared" si="29"/>
        <v>0</v>
      </c>
      <c r="AA10" s="23" t="str">
        <f>IF(SUMPRODUCT($J$64:Z$64,$J10:Z10)&lt;0.5,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4</v>
      </c>
    </row>
    <row r="11" spans="1:83">
      <c r="A11" s="16" t="s">
        <v>105</v>
      </c>
      <c r="B11" s="16" t="s">
        <v>108</v>
      </c>
      <c r="C11" s="16" t="s">
        <v>150</v>
      </c>
      <c r="D11" s="17">
        <v>4.2</v>
      </c>
      <c r="E11" s="178" t="s">
        <v>147</v>
      </c>
      <c r="F11" s="18" t="s">
        <v>134</v>
      </c>
      <c r="G11" s="19" t="str">
        <f t="shared" ca="1" si="0"/>
        <v>In Progress</v>
      </c>
      <c r="H11" s="20">
        <v>1</v>
      </c>
      <c r="I11" s="21">
        <v>6</v>
      </c>
      <c r="J11" s="22">
        <v>0</v>
      </c>
      <c r="K11" s="22">
        <f t="shared" si="24"/>
        <v>6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6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6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6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6</v>
      </c>
      <c r="X11" s="23" t="str">
        <f>IF(SUMPRODUCT($J$64:W$64,$J11:W11)&lt;0.5, "Pending", IF(W11&lt;0.5, "Complete", "In Progress"))</f>
        <v>Pending</v>
      </c>
      <c r="Y11" s="22">
        <v>2</v>
      </c>
      <c r="Z11" s="22">
        <f t="shared" si="29"/>
        <v>4</v>
      </c>
      <c r="AA11" s="23" t="str">
        <f>IF(SUMPRODUCT($J$64:Z$64,$J11:Z11)&lt;0.5, "Pending", IF(Z11&lt;0.5, "Complete", "In Progress"))</f>
        <v>In Progress</v>
      </c>
      <c r="AB11" s="22">
        <v>1</v>
      </c>
      <c r="AC11" s="22">
        <f t="shared" si="30"/>
        <v>3</v>
      </c>
      <c r="AD11" s="23" t="str">
        <f>IF(SUMPRODUCT($J$64:AC$64,$J11:AC11)&lt;0.5, "Pending", IF(AC11&lt;0.5, "Complete", "In Progress"))</f>
        <v>In Progress</v>
      </c>
      <c r="AE11" s="22">
        <v>0</v>
      </c>
      <c r="AF11" s="22">
        <f t="shared" si="31"/>
        <v>3</v>
      </c>
      <c r="AG11" s="23" t="str">
        <f>IF(SUMPRODUCT($J$64:AF$64,$J11:AF11)&lt;0.5, "Pending", IF(AF11&lt;0.5, "Complete", "In Progress"))</f>
        <v>In Progress</v>
      </c>
      <c r="AH11" s="22">
        <v>0</v>
      </c>
      <c r="AI11" s="22">
        <f t="shared" si="32"/>
        <v>3</v>
      </c>
      <c r="AJ11" s="23" t="str">
        <f>IF(SUMPRODUCT($J$64:AI$64,$J11:AI11)&lt;0.5, "Pending", IF(AI11&lt;0.5, "Complete", "In Progress"))</f>
        <v>In Progress</v>
      </c>
      <c r="AK11" s="22">
        <v>0</v>
      </c>
      <c r="AL11" s="22">
        <f t="shared" si="33"/>
        <v>3</v>
      </c>
      <c r="AM11" s="23" t="str">
        <f>IF(SUMPRODUCT($J$64:AL$64,$J11:AL11)&lt;0.5, "Pending", IF(AL11&lt;0.5, "Complete", "In Progress"))</f>
        <v>In Progress</v>
      </c>
      <c r="AN11" s="22">
        <v>0</v>
      </c>
      <c r="AO11" s="22">
        <f t="shared" si="34"/>
        <v>3</v>
      </c>
      <c r="AP11" s="23" t="str">
        <f>IF(SUMPRODUCT($J$64:AO$64,$J11:AO11)&lt;0.5, "Pending", IF(AO11&lt;0.5, "Complete", "In Progress"))</f>
        <v>In Progress</v>
      </c>
      <c r="AQ11" s="22">
        <v>0</v>
      </c>
      <c r="AR11" s="22">
        <f t="shared" si="35"/>
        <v>3</v>
      </c>
      <c r="AS11" s="23" t="str">
        <f>IF(SUMPRODUCT($J$64:AR$64,$J11:AR11)&lt;0.5, "Pending", IF(AR11&lt;0.5, "Complete", "In Progress"))</f>
        <v>In Progress</v>
      </c>
      <c r="AT11" s="22">
        <v>0</v>
      </c>
      <c r="AU11" s="22">
        <f t="shared" si="36"/>
        <v>3</v>
      </c>
      <c r="AV11" s="23" t="str">
        <f>IF(SUMPRODUCT($J$64:AU$64,$J11:AU11)&lt;0.5, "Pending", IF(AU11&lt;0.5, "Complete", "In Progress"))</f>
        <v>In Progress</v>
      </c>
      <c r="AW11" s="22">
        <v>0</v>
      </c>
      <c r="AX11" s="22">
        <f t="shared" si="37"/>
        <v>3</v>
      </c>
      <c r="AY11" s="23" t="str">
        <f>IF(SUMPRODUCT($J$64:AX$64,$J11:AX11)&lt;0.5,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3</v>
      </c>
    </row>
    <row r="12" spans="1:83">
      <c r="A12" s="16" t="s">
        <v>105</v>
      </c>
      <c r="B12" s="16" t="s">
        <v>109</v>
      </c>
      <c r="C12" s="16" t="s">
        <v>151</v>
      </c>
      <c r="D12" s="17">
        <v>5.0999999999999996</v>
      </c>
      <c r="E12" s="178" t="s">
        <v>148</v>
      </c>
      <c r="F12" s="18" t="s">
        <v>133</v>
      </c>
      <c r="G12" s="19" t="str">
        <f t="shared" ca="1" si="0"/>
        <v>In Progress</v>
      </c>
      <c r="H12" s="20">
        <v>1</v>
      </c>
      <c r="I12" s="21">
        <v>10</v>
      </c>
      <c r="J12" s="22">
        <v>0</v>
      </c>
      <c r="K12" s="22">
        <f t="shared" si="24"/>
        <v>10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10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10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10</v>
      </c>
      <c r="U12" s="23" t="str">
        <f>IF(SUMPRODUCT($J$64:T$64,$J12:T12)&lt;0.5, "Pending", IF(T12&lt;0.5, "Complete", "In Progress"))</f>
        <v>Pending</v>
      </c>
      <c r="V12" s="22">
        <v>2</v>
      </c>
      <c r="W12" s="22">
        <f t="shared" si="28"/>
        <v>8</v>
      </c>
      <c r="X12" s="23" t="str">
        <f>IF(SUMPRODUCT($J$64:W$64,$J12:W12)&lt;0.5, "Pending", IF(W12&lt;0.5, "Complete", "In Progress"))</f>
        <v>In Progress</v>
      </c>
      <c r="Y12" s="22">
        <v>3</v>
      </c>
      <c r="Z12" s="22">
        <f t="shared" si="29"/>
        <v>5</v>
      </c>
      <c r="AA12" s="23" t="str">
        <f>IF(SUMPRODUCT($J$64:Z$64,$J12:Z12)&lt;0.5, "Pending", IF(Z12&lt;0.5, "Complete", "In Progress"))</f>
        <v>In Progress</v>
      </c>
      <c r="AB12" s="22">
        <v>0</v>
      </c>
      <c r="AC12" s="22">
        <f t="shared" si="30"/>
        <v>5</v>
      </c>
      <c r="AD12" s="23" t="str">
        <f>IF(SUMPRODUCT($J$64:AC$64,$J12:AC12)&lt;0.5, "Pending", IF(AC12&lt;0.5, "Complete", "In Progress"))</f>
        <v>In Progress</v>
      </c>
      <c r="AE12" s="22">
        <v>0</v>
      </c>
      <c r="AF12" s="22">
        <f t="shared" si="31"/>
        <v>5</v>
      </c>
      <c r="AG12" s="23" t="str">
        <f>IF(SUMPRODUCT($J$64:AF$64,$J12:AF12)&lt;0.5, "Pending", IF(AF12&lt;0.5, "Complete", "In Progress"))</f>
        <v>In Progress</v>
      </c>
      <c r="AH12" s="22">
        <v>0</v>
      </c>
      <c r="AI12" s="22">
        <f t="shared" si="32"/>
        <v>5</v>
      </c>
      <c r="AJ12" s="23" t="str">
        <f>IF(SUMPRODUCT($J$64:AI$64,$J12:AI12)&lt;0.5, "Pending", IF(AI12&lt;0.5, "Complete", "In Progress"))</f>
        <v>In Progress</v>
      </c>
      <c r="AK12" s="22">
        <v>0</v>
      </c>
      <c r="AL12" s="22">
        <f t="shared" si="33"/>
        <v>5</v>
      </c>
      <c r="AM12" s="23" t="str">
        <f>IF(SUMPRODUCT($J$64:AL$64,$J12:AL12)&lt;0.5, "Pending", IF(AL12&lt;0.5, "Complete", "In Progress"))</f>
        <v>In Progress</v>
      </c>
      <c r="AN12" s="22">
        <v>0</v>
      </c>
      <c r="AO12" s="22">
        <f t="shared" si="34"/>
        <v>5</v>
      </c>
      <c r="AP12" s="23" t="str">
        <f>IF(SUMPRODUCT($J$64:AO$64,$J12:AO12)&lt;0.5, "Pending", IF(AO12&lt;0.5, "Complete", "In Progress"))</f>
        <v>In Progress</v>
      </c>
      <c r="AQ12" s="22">
        <v>0</v>
      </c>
      <c r="AR12" s="22">
        <f t="shared" si="35"/>
        <v>5</v>
      </c>
      <c r="AS12" s="23" t="str">
        <f>IF(SUMPRODUCT($J$64:AR$64,$J12:AR12)&lt;0.5, "Pending", IF(AR12&lt;0.5, "Complete", "In Progress"))</f>
        <v>In Progress</v>
      </c>
      <c r="AT12" s="22">
        <v>0</v>
      </c>
      <c r="AU12" s="22">
        <f t="shared" si="36"/>
        <v>5</v>
      </c>
      <c r="AV12" s="23" t="str">
        <f>IF(SUMPRODUCT($J$64:AU$64,$J12:AU12)&lt;0.5, "Pending", IF(AU12&lt;0.5, "Complete", "In Progress"))</f>
        <v>In Progress</v>
      </c>
      <c r="AW12" s="22">
        <v>0</v>
      </c>
      <c r="AX12" s="22">
        <f t="shared" si="37"/>
        <v>5</v>
      </c>
      <c r="AY12" s="23" t="str">
        <f>IF(SUMPRODUCT($J$64:AX$64,$J12:AX12)&lt;0.5,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5</v>
      </c>
    </row>
    <row r="13" spans="1:83">
      <c r="A13" s="16" t="s">
        <v>105</v>
      </c>
      <c r="B13" s="16" t="s">
        <v>116</v>
      </c>
      <c r="C13" s="16" t="s">
        <v>152</v>
      </c>
      <c r="D13" s="17">
        <v>6.1</v>
      </c>
      <c r="E13" s="178" t="s">
        <v>155</v>
      </c>
      <c r="F13" s="18" t="s">
        <v>132</v>
      </c>
      <c r="G13" s="19" t="str">
        <f t="shared" ca="1" si="0"/>
        <v>Complete</v>
      </c>
      <c r="H13" s="20">
        <v>1</v>
      </c>
      <c r="I13" s="21">
        <v>8</v>
      </c>
      <c r="J13" s="22">
        <v>0</v>
      </c>
      <c r="K13" s="22">
        <f t="shared" si="24"/>
        <v>8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8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8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8</v>
      </c>
      <c r="U13" s="23" t="str">
        <f>IF(SUMPRODUCT($J$64:T$64,$J13:T13)&lt;0.5, "Pending", IF(T13&lt;0.5, "Complete", "In Progress"))</f>
        <v>Pending</v>
      </c>
      <c r="V13" s="22">
        <v>4</v>
      </c>
      <c r="W13" s="22">
        <f t="shared" si="28"/>
        <v>4</v>
      </c>
      <c r="X13" s="23" t="str">
        <f>IF(SUMPRODUCT($J$64:W$64,$J13:W13)&lt;0.5, "Pending", IF(W13&lt;0.5, "Complete", "In Progress"))</f>
        <v>In Progress</v>
      </c>
      <c r="Y13" s="22">
        <v>4</v>
      </c>
      <c r="Z13" s="22">
        <f t="shared" si="29"/>
        <v>0</v>
      </c>
      <c r="AA13" s="23" t="str">
        <f>IF(SUMPRODUCT($J$64:Z$64,$J13:Z13)&lt;0.5, "Pending", IF(Z13&lt;0.5, "Complete", "In Progress"))</f>
        <v>Complete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Complete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Complete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Complete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8</v>
      </c>
    </row>
    <row r="14" spans="1:83">
      <c r="A14" s="16" t="s">
        <v>105</v>
      </c>
      <c r="B14" s="16" t="s">
        <v>109</v>
      </c>
      <c r="C14" s="16" t="s">
        <v>153</v>
      </c>
      <c r="D14" s="17">
        <v>7.1</v>
      </c>
      <c r="E14" s="178" t="s">
        <v>156</v>
      </c>
      <c r="F14" s="18" t="s">
        <v>134</v>
      </c>
      <c r="G14" s="19" t="str">
        <f t="shared" ca="1" si="0"/>
        <v>Complete</v>
      </c>
      <c r="H14" s="20">
        <v>1</v>
      </c>
      <c r="I14" s="21">
        <v>4</v>
      </c>
      <c r="J14" s="22">
        <v>0</v>
      </c>
      <c r="K14" s="22">
        <f t="shared" si="24"/>
        <v>4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4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4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4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4</v>
      </c>
      <c r="X14" s="23" t="str">
        <f>IF(SUMPRODUCT($J$64:W$64,$J14:W14)&lt;0.5, "Pending", IF(W14&lt;0.5, "Complete", "In Progress"))</f>
        <v>Pending</v>
      </c>
      <c r="Y14" s="22">
        <v>4</v>
      </c>
      <c r="Z14" s="22">
        <f t="shared" si="29"/>
        <v>0</v>
      </c>
      <c r="AA14" s="23" t="str">
        <f>IF(SUMPRODUCT($J$64:Z$64,$J14:Z14)&lt;0.5, "Pending", IF(Z14&lt;0.5, "Complete", "In Progress"))</f>
        <v>Complete</v>
      </c>
      <c r="AB14" s="22">
        <v>0</v>
      </c>
      <c r="AC14" s="22">
        <f t="shared" si="30"/>
        <v>0</v>
      </c>
      <c r="AD14" s="23" t="s">
        <v>142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Complete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4</v>
      </c>
    </row>
    <row r="15" spans="1:83">
      <c r="A15" s="16"/>
      <c r="B15" s="16"/>
      <c r="C15" s="16"/>
      <c r="D15" s="17"/>
      <c r="E15" s="178"/>
      <c r="F15" s="18" t="s">
        <v>131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8"/>
      <c r="F16" s="18" t="s">
        <v>131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8"/>
      <c r="F17" s="18" t="s">
        <v>131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8"/>
      <c r="F18" s="18" t="s">
        <v>131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8"/>
      <c r="F19" s="18" t="s">
        <v>131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8"/>
      <c r="F20" s="18" t="s">
        <v>131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8"/>
      <c r="F21" s="18" t="s">
        <v>131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8"/>
      <c r="F22" s="18" t="s">
        <v>131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8"/>
      <c r="F23" s="18" t="s">
        <v>131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8"/>
      <c r="F24" s="18" t="s">
        <v>131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8"/>
      <c r="F25" s="18" t="s">
        <v>131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8"/>
      <c r="F26" s="18" t="s">
        <v>131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8"/>
      <c r="F27" s="18" t="s">
        <v>131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8"/>
      <c r="F28" s="18" t="s">
        <v>131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8"/>
      <c r="F29" s="18" t="s">
        <v>131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8"/>
      <c r="F30" s="18" t="s">
        <v>131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8"/>
      <c r="F31" s="18" t="s">
        <v>131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8"/>
      <c r="F32" s="18" t="s">
        <v>131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8"/>
      <c r="F33" s="18" t="s">
        <v>131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8"/>
      <c r="F34" s="18" t="s">
        <v>131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8"/>
      <c r="F35" s="18" t="s">
        <v>131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8"/>
      <c r="F36" s="18" t="s">
        <v>131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8"/>
      <c r="F37" s="18" t="s">
        <v>131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8"/>
      <c r="F38" s="18" t="s">
        <v>131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8"/>
      <c r="F39" s="18" t="s">
        <v>131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8"/>
      <c r="F40" s="18" t="s">
        <v>131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8"/>
      <c r="F41" s="18" t="s">
        <v>131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8"/>
      <c r="F42" s="18" t="s">
        <v>131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8"/>
      <c r="F43" s="18" t="s">
        <v>131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8"/>
      <c r="F44" s="18" t="s">
        <v>131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8"/>
      <c r="F45" s="18" t="s">
        <v>131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8"/>
      <c r="F46" s="18" t="s">
        <v>131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8"/>
      <c r="F47" s="18" t="s">
        <v>131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8"/>
      <c r="F48" s="18" t="s">
        <v>131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8"/>
      <c r="F49" s="18" t="s">
        <v>131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8"/>
      <c r="F50" s="18" t="s">
        <v>131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8"/>
      <c r="F51" s="18" t="s">
        <v>131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8"/>
      <c r="F52" s="18" t="s">
        <v>131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8"/>
      <c r="F53" s="18" t="s">
        <v>131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8"/>
      <c r="F54" s="18" t="s">
        <v>131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8"/>
      <c r="F55" s="18" t="s">
        <v>131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8"/>
      <c r="F56" s="18" t="s">
        <v>131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8"/>
      <c r="F57" s="18" t="s">
        <v>131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8"/>
      <c r="F58" s="18" t="s">
        <v>131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8"/>
      <c r="F59" s="18" t="s">
        <v>131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8"/>
      <c r="F60" s="18" t="s">
        <v>131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7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66</v>
      </c>
      <c r="J67" s="156">
        <f>SUBTOTAL(109,J$4:J$62)</f>
        <v>5</v>
      </c>
      <c r="K67" s="156">
        <f>SUBTOTAL(109,K$4:K$61)</f>
        <v>61</v>
      </c>
      <c r="L67" s="39"/>
      <c r="M67" s="39">
        <f>SUBTOTAL(109,M$4:M$62)</f>
        <v>8</v>
      </c>
      <c r="N67" s="39">
        <f>SUBTOTAL(109,N$4:N$61)</f>
        <v>53</v>
      </c>
      <c r="O67" s="39"/>
      <c r="P67" s="39">
        <f>SUBTOTAL(109,P$4:P$62)</f>
        <v>5</v>
      </c>
      <c r="Q67" s="39">
        <f>SUBTOTAL(109,Q$4:Q$61)</f>
        <v>48</v>
      </c>
      <c r="R67" s="39"/>
      <c r="S67" s="39">
        <f>SUBTOTAL(109,S$4:S$62)</f>
        <v>2</v>
      </c>
      <c r="T67" s="39">
        <f>SUBTOTAL(109,T$4:T$61)</f>
        <v>46</v>
      </c>
      <c r="U67" s="39"/>
      <c r="V67" s="39">
        <f>SUBTOTAL(109,V$4:V$62)</f>
        <v>15</v>
      </c>
      <c r="W67" s="39">
        <f>SUBTOTAL(109,W$4:W$61)</f>
        <v>31</v>
      </c>
      <c r="X67" s="39"/>
      <c r="Y67" s="39">
        <f>SUBTOTAL(109,Y$4:Y$62)</f>
        <v>17</v>
      </c>
      <c r="Z67" s="39">
        <f>SUBTOTAL(109,Z$4:Z$61)</f>
        <v>14</v>
      </c>
      <c r="AA67" s="39"/>
      <c r="AB67" s="39">
        <f>SUBTOTAL(109,AB$4:AB$62)</f>
        <v>1</v>
      </c>
      <c r="AC67" s="39">
        <f>SUBTOTAL(109,AC$4:AC$61)</f>
        <v>13</v>
      </c>
      <c r="AD67" s="39"/>
      <c r="AE67" s="39">
        <f>SUBTOTAL(109,AE$4:AE$62)</f>
        <v>0</v>
      </c>
      <c r="AF67" s="39">
        <f>SUBTOTAL(109,AF$4:AF$61)</f>
        <v>13</v>
      </c>
      <c r="AG67" s="39"/>
      <c r="AH67" s="39">
        <f>SUBTOTAL(109,AH$4:AH$62)</f>
        <v>0</v>
      </c>
      <c r="AI67" s="39">
        <f>SUBTOTAL(109,AI$4:AI$61)</f>
        <v>13</v>
      </c>
      <c r="AJ67" s="39"/>
      <c r="AK67" s="39">
        <f>SUBTOTAL(109,AK$4:AK$62)</f>
        <v>0</v>
      </c>
      <c r="AL67" s="39">
        <f>SUBTOTAL(109,AL$4:AL$61)</f>
        <v>13</v>
      </c>
      <c r="AM67" s="39"/>
      <c r="AN67" s="39">
        <f>SUBTOTAL(109,AN$4:AN$62)</f>
        <v>0</v>
      </c>
      <c r="AO67" s="39">
        <f>SUBTOTAL(109,AO$4:AO$61)</f>
        <v>13</v>
      </c>
      <c r="AP67" s="39"/>
      <c r="AQ67" s="39">
        <f>SUBTOTAL(109,AQ$4:AQ$62)</f>
        <v>0</v>
      </c>
      <c r="AR67" s="39">
        <f>SUBTOTAL(109,AR$4:AR$61)</f>
        <v>13</v>
      </c>
      <c r="AS67" s="39"/>
      <c r="AT67" s="39">
        <f>SUBTOTAL(109,AT$4:AT$62)</f>
        <v>0</v>
      </c>
      <c r="AU67" s="39">
        <f>SUBTOTAL(109,AU$4:AU$61)</f>
        <v>13</v>
      </c>
      <c r="AV67" s="39"/>
      <c r="AW67" s="39">
        <f>SUBTOTAL(109,AW$4:AW$62)</f>
        <v>0</v>
      </c>
      <c r="AX67" s="39">
        <f>SUBTOTAL(109,AX$4:AX$61)</f>
        <v>13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4" r:id="rId3" name="BtnInsertNewLineAtEnd"/>
    <control shapeId="6275" r:id="rId4" name="BtnInsertNewLin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workbookViewId="0">
      <selection activeCell="F22" sqref="F22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41190</v>
      </c>
      <c r="F20" s="164">
        <f t="shared" si="0"/>
        <v>41191</v>
      </c>
      <c r="G20" s="164">
        <f t="shared" si="0"/>
        <v>41192</v>
      </c>
      <c r="H20" s="164">
        <f t="shared" si="0"/>
        <v>41193</v>
      </c>
      <c r="I20" s="164">
        <f t="shared" si="0"/>
        <v>41194</v>
      </c>
      <c r="J20" s="164">
        <f t="shared" si="0"/>
        <v>41195</v>
      </c>
      <c r="K20" s="164">
        <f t="shared" si="0"/>
        <v>41196</v>
      </c>
      <c r="L20" s="164">
        <f t="shared" si="0"/>
        <v>41197</v>
      </c>
      <c r="M20" s="164">
        <f t="shared" si="0"/>
        <v>41198</v>
      </c>
      <c r="N20" s="164">
        <f t="shared" si="0"/>
        <v>41199</v>
      </c>
      <c r="O20" s="164">
        <f t="shared" si="0"/>
        <v>41200</v>
      </c>
      <c r="P20" s="164">
        <f t="shared" si="0"/>
        <v>41201</v>
      </c>
      <c r="Q20" s="164">
        <f t="shared" si="0"/>
        <v>41202</v>
      </c>
      <c r="R20" s="164">
        <f t="shared" si="0"/>
        <v>41203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61</v>
      </c>
      <c r="F22" s="162">
        <f t="shared" ca="1" si="1"/>
        <v>53</v>
      </c>
      <c r="G22" s="162">
        <f t="shared" ca="1" si="1"/>
        <v>48</v>
      </c>
      <c r="H22" s="162">
        <f t="shared" ca="1" si="1"/>
        <v>46</v>
      </c>
      <c r="I22" s="162">
        <f t="shared" ca="1" si="1"/>
        <v>31</v>
      </c>
      <c r="J22" s="162">
        <f t="shared" ca="1" si="1"/>
        <v>14</v>
      </c>
      <c r="K22" s="162">
        <f t="shared" ca="1" si="1"/>
        <v>13</v>
      </c>
      <c r="L22" s="162">
        <f t="shared" ca="1" si="1"/>
        <v>13</v>
      </c>
      <c r="M22" s="162">
        <f t="shared" ca="1" si="1"/>
        <v>13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5</v>
      </c>
      <c r="F23" s="163">
        <f t="shared" ca="1" si="2"/>
        <v>8</v>
      </c>
      <c r="G23" s="163">
        <f t="shared" ca="1" si="2"/>
        <v>5</v>
      </c>
      <c r="H23" s="163">
        <f t="shared" ca="1" si="2"/>
        <v>2</v>
      </c>
      <c r="I23" s="163">
        <f t="shared" ca="1" si="2"/>
        <v>15</v>
      </c>
      <c r="J23" s="163">
        <f t="shared" ca="1" si="2"/>
        <v>17</v>
      </c>
      <c r="K23" s="163">
        <f t="shared" ca="1" si="2"/>
        <v>1</v>
      </c>
      <c r="L23" s="163">
        <f t="shared" ca="1" si="2"/>
        <v>0</v>
      </c>
      <c r="M23" s="163">
        <f t="shared" ca="1" si="2"/>
        <v>0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>
        <f ca="1">IF(E20&gt;TODAY(), #N/A, SUM($E23:E23))</f>
        <v>5</v>
      </c>
      <c r="F24" s="163">
        <f ca="1">IF(F20&gt;TODAY(), #N/A, SUM($E23:F23))</f>
        <v>13</v>
      </c>
      <c r="G24" s="163">
        <f ca="1">IF(G20&gt;TODAY(), #N/A, SUM($E23:G23))</f>
        <v>18</v>
      </c>
      <c r="H24" s="163">
        <f ca="1">IF(H20&gt;TODAY(), #N/A, SUM($E23:H23))</f>
        <v>20</v>
      </c>
      <c r="I24" s="163">
        <f ca="1">IF(I20&gt;TODAY(), #N/A, SUM($E23:I23))</f>
        <v>35</v>
      </c>
      <c r="J24" s="163">
        <f ca="1">IF(J20&gt;TODAY(), #N/A, SUM($E23:J23))</f>
        <v>52</v>
      </c>
      <c r="K24" s="163">
        <f ca="1">IF(K20&gt;TODAY(), #N/A, SUM($E23:K23))</f>
        <v>53</v>
      </c>
      <c r="L24" s="163">
        <f ca="1">IF(L20&gt;TODAY(), #N/A, SUM($E23:L23))</f>
        <v>53</v>
      </c>
      <c r="M24" s="163">
        <f ca="1">IF(M20&gt;TODAY(), #N/A, SUM($E23:M23))</f>
        <v>53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>
        <f t="shared" ref="E25:R25" ca="1" si="3">IF(E20&gt;TODAY(), #N/A, E22+E24)</f>
        <v>66</v>
      </c>
      <c r="F25" s="163">
        <f t="shared" ca="1" si="3"/>
        <v>66</v>
      </c>
      <c r="G25" s="163">
        <f t="shared" ca="1" si="3"/>
        <v>66</v>
      </c>
      <c r="H25" s="163">
        <f t="shared" ca="1" si="3"/>
        <v>66</v>
      </c>
      <c r="I25" s="163">
        <f t="shared" ca="1" si="3"/>
        <v>66</v>
      </c>
      <c r="J25" s="163">
        <f t="shared" ca="1" si="3"/>
        <v>66</v>
      </c>
      <c r="K25" s="163">
        <f t="shared" ca="1" si="3"/>
        <v>66</v>
      </c>
      <c r="L25" s="163">
        <f t="shared" ca="1" si="3"/>
        <v>66</v>
      </c>
      <c r="M25" s="163">
        <f t="shared" ca="1" si="3"/>
        <v>66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>
        <f t="shared" ref="E27:R27" ca="1" si="4">IF(E20&gt;TODAY(), #N/A, E24/E19)</f>
        <v>5</v>
      </c>
      <c r="F27" s="168">
        <f t="shared" ca="1" si="4"/>
        <v>6.5</v>
      </c>
      <c r="G27" s="168">
        <f t="shared" ca="1" si="4"/>
        <v>6</v>
      </c>
      <c r="H27" s="168">
        <f t="shared" ca="1" si="4"/>
        <v>5</v>
      </c>
      <c r="I27" s="168">
        <f t="shared" ca="1" si="4"/>
        <v>7</v>
      </c>
      <c r="J27" s="168">
        <f t="shared" ca="1" si="4"/>
        <v>8.6666666666666661</v>
      </c>
      <c r="K27" s="168">
        <f t="shared" ca="1" si="4"/>
        <v>7.5714285714285712</v>
      </c>
      <c r="L27" s="168">
        <f t="shared" ca="1" si="4"/>
        <v>6.625</v>
      </c>
      <c r="M27" s="168">
        <f t="shared" ca="1" si="4"/>
        <v>5.8888888888888893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41202.199999999997</v>
      </c>
      <c r="F28" s="169">
        <f t="shared" ca="1" si="5"/>
        <v>41199.153846153844</v>
      </c>
      <c r="G28" s="169">
        <f t="shared" ca="1" si="5"/>
        <v>41200</v>
      </c>
      <c r="H28" s="169">
        <f t="shared" ca="1" si="5"/>
        <v>41202.199999999997</v>
      </c>
      <c r="I28" s="169">
        <f t="shared" ca="1" si="5"/>
        <v>41198.428571428572</v>
      </c>
      <c r="J28" s="169">
        <f t="shared" ca="1" si="5"/>
        <v>41196.615384615383</v>
      </c>
      <c r="K28" s="169">
        <f t="shared" ca="1" si="5"/>
        <v>41197.716981132078</v>
      </c>
      <c r="L28" s="169">
        <f t="shared" ca="1" si="5"/>
        <v>41198.962264150941</v>
      </c>
      <c r="M28" s="169">
        <f t="shared" ca="1" si="5"/>
        <v>41200.207547169812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41190</v>
      </c>
      <c r="F29" s="169">
        <f t="shared" ca="1" si="6"/>
        <v>41211</v>
      </c>
      <c r="G29" s="169">
        <f t="shared" ca="1" si="6"/>
        <v>41203.142857142855</v>
      </c>
      <c r="H29" s="169">
        <f t="shared" ca="1" si="6"/>
        <v>41207.857142857145</v>
      </c>
      <c r="I29" s="169">
        <f t="shared" ca="1" si="6"/>
        <v>41204</v>
      </c>
      <c r="J29" s="169">
        <f t="shared" ca="1" si="6"/>
        <v>41199.42105263158</v>
      </c>
      <c r="K29" s="169">
        <f t="shared" ca="1" si="6"/>
        <v>41202.588235294119</v>
      </c>
      <c r="L29" s="169">
        <f t="shared" ca="1" si="6"/>
        <v>41202.894736842107</v>
      </c>
      <c r="M29" s="169">
        <f t="shared" ca="1" si="6"/>
        <v>41204.631578947367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48</v>
      </c>
      <c r="F31" s="165">
        <f t="shared" ca="1" si="7"/>
        <v>44</v>
      </c>
      <c r="G31" s="165">
        <f t="shared" ca="1" si="7"/>
        <v>44</v>
      </c>
      <c r="H31" s="165">
        <f t="shared" ca="1" si="7"/>
        <v>36</v>
      </c>
      <c r="I31" s="165">
        <f t="shared" ca="1" si="7"/>
        <v>10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>
        <f t="shared" ref="E32:R32" ca="1" si="8">E$22-E$31+E$24-E$33</f>
        <v>18</v>
      </c>
      <c r="F32" s="170">
        <f t="shared" ca="1" si="8"/>
        <v>16</v>
      </c>
      <c r="G32" s="170">
        <f t="shared" ca="1" si="8"/>
        <v>8</v>
      </c>
      <c r="H32" s="170">
        <f t="shared" ca="1" si="8"/>
        <v>16</v>
      </c>
      <c r="I32" s="170">
        <f t="shared" ca="1" si="8"/>
        <v>34</v>
      </c>
      <c r="J32" s="170">
        <f t="shared" ca="1" si="8"/>
        <v>28</v>
      </c>
      <c r="K32" s="170">
        <f t="shared" ca="1" si="8"/>
        <v>32</v>
      </c>
      <c r="L32" s="170">
        <f t="shared" ca="1" si="8"/>
        <v>28</v>
      </c>
      <c r="M32" s="170">
        <f t="shared" ca="1" si="8"/>
        <v>28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6</v>
      </c>
      <c r="G33" s="165">
        <f t="shared" ca="1" si="9"/>
        <v>14</v>
      </c>
      <c r="H33" s="165">
        <f t="shared" ca="1" si="9"/>
        <v>14</v>
      </c>
      <c r="I33" s="165">
        <f t="shared" ca="1" si="9"/>
        <v>22</v>
      </c>
      <c r="J33" s="165">
        <f t="shared" ca="1" si="9"/>
        <v>38</v>
      </c>
      <c r="K33" s="165">
        <f t="shared" ca="1" si="9"/>
        <v>34</v>
      </c>
      <c r="L33" s="165">
        <f t="shared" ca="1" si="9"/>
        <v>38</v>
      </c>
      <c r="M33" s="165">
        <f t="shared" ca="1" si="9"/>
        <v>38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55</v>
      </c>
      <c r="F35" s="165">
        <f t="shared" ca="1" si="10"/>
        <v>54</v>
      </c>
      <c r="G35" s="165">
        <f t="shared" ca="1" si="10"/>
        <v>54</v>
      </c>
      <c r="H35" s="165">
        <f t="shared" ca="1" si="10"/>
        <v>53</v>
      </c>
      <c r="I35" s="165">
        <f t="shared" ca="1" si="10"/>
        <v>49</v>
      </c>
      <c r="J35" s="165">
        <f t="shared" ca="1" si="10"/>
        <v>47</v>
      </c>
      <c r="K35" s="165">
        <f t="shared" ca="1" si="10"/>
        <v>47</v>
      </c>
      <c r="L35" s="165">
        <f t="shared" ca="1" si="10"/>
        <v>47</v>
      </c>
      <c r="M35" s="165">
        <f t="shared" ca="1" si="10"/>
        <v>47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3</v>
      </c>
      <c r="G36" s="165">
        <f t="shared" ca="1" si="11"/>
        <v>2</v>
      </c>
      <c r="H36" s="165">
        <f t="shared" ca="1" si="11"/>
        <v>3</v>
      </c>
      <c r="I36" s="165">
        <f t="shared" ca="1" si="11"/>
        <v>5</v>
      </c>
      <c r="J36" s="165">
        <f t="shared" ca="1" si="11"/>
        <v>4</v>
      </c>
      <c r="K36" s="165">
        <f t="shared" ca="1" si="11"/>
        <v>4</v>
      </c>
      <c r="L36" s="165">
        <f t="shared" ca="1" si="11"/>
        <v>4</v>
      </c>
      <c r="M36" s="165">
        <f t="shared" ca="1" si="11"/>
        <v>4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>
        <f t="shared" ca="1" si="12"/>
        <v>2</v>
      </c>
      <c r="H37" s="165">
        <f t="shared" ca="1" si="12"/>
        <v>2</v>
      </c>
      <c r="I37" s="165">
        <f t="shared" ca="1" si="12"/>
        <v>4</v>
      </c>
      <c r="J37" s="165">
        <f t="shared" ca="1" si="12"/>
        <v>7</v>
      </c>
      <c r="K37" s="165">
        <f t="shared" ca="1" si="12"/>
        <v>6</v>
      </c>
      <c r="L37" s="165">
        <f t="shared" ca="1" si="12"/>
        <v>7</v>
      </c>
      <c r="M37" s="165">
        <f t="shared" ca="1" si="12"/>
        <v>7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6" sqref="F6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Tue</v>
      </c>
      <c r="E2" s="48">
        <f ca="1">TODAY()</f>
        <v>41198</v>
      </c>
    </row>
    <row r="3" spans="2:28" ht="13.5" thickBot="1">
      <c r="B3" s="49" t="s">
        <v>43</v>
      </c>
      <c r="C3" s="50"/>
      <c r="D3" s="51" t="str">
        <f>TEXT(E3,"ddd")</f>
        <v>Mon</v>
      </c>
      <c r="E3" s="52">
        <v>41190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4</v>
      </c>
      <c r="D6" s="62"/>
      <c r="E6" s="63" t="s">
        <v>56</v>
      </c>
      <c r="F6" s="64">
        <v>12</v>
      </c>
      <c r="G6" s="65"/>
      <c r="I6" s="66">
        <f>IF(D3="Mon",E3-0,IF(D3="Tue",E3-1,IF(D3="Wed",E3-2,IF(D3="Thu",E3-3,IF(D3="Fri",E3-4,IF(D3="Sat",E3-5,IF(D3="Sun",E3-6,"False")))))))</f>
        <v>41190</v>
      </c>
      <c r="J6" s="67">
        <f t="shared" ref="J6:O6" si="0">I6+1</f>
        <v>41191</v>
      </c>
      <c r="K6" s="67">
        <f t="shared" si="0"/>
        <v>41192</v>
      </c>
      <c r="L6" s="67">
        <f t="shared" si="0"/>
        <v>41193</v>
      </c>
      <c r="M6" s="67">
        <f t="shared" si="0"/>
        <v>41194</v>
      </c>
      <c r="N6" s="68">
        <f t="shared" si="0"/>
        <v>41195</v>
      </c>
      <c r="O6" s="68">
        <f t="shared" si="0"/>
        <v>41196</v>
      </c>
      <c r="P6" s="69">
        <f>I6+7</f>
        <v>41197</v>
      </c>
      <c r="Q6" s="67">
        <f t="shared" ref="Q6:V6" si="1">P6+1</f>
        <v>41198</v>
      </c>
      <c r="R6" s="67">
        <f t="shared" si="1"/>
        <v>41199</v>
      </c>
      <c r="S6" s="67">
        <f t="shared" si="1"/>
        <v>41200</v>
      </c>
      <c r="T6" s="67">
        <f t="shared" si="1"/>
        <v>41201</v>
      </c>
      <c r="U6" s="68">
        <f t="shared" si="1"/>
        <v>41202</v>
      </c>
      <c r="V6" s="68">
        <f t="shared" si="1"/>
        <v>41203</v>
      </c>
      <c r="W6" s="198"/>
      <c r="X6" s="199"/>
      <c r="Y6" s="199"/>
      <c r="Z6" s="199"/>
      <c r="AA6" s="199"/>
      <c r="AB6" s="200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 ca="1">SUM(G8:G25)</f>
        <v>13</v>
      </c>
      <c r="D8" s="80"/>
      <c r="E8" s="81" t="s">
        <v>132</v>
      </c>
      <c r="F8" s="82">
        <v>1</v>
      </c>
      <c r="G8" s="83">
        <f ca="1">SUMIF(Sprint!$F$3:$F$1854,E8,Sprint!$AX$4:$AX$1854)</f>
        <v>0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16</v>
      </c>
      <c r="X8" s="193"/>
      <c r="Y8" s="193"/>
      <c r="Z8" s="193"/>
      <c r="AA8" s="193"/>
      <c r="AB8" s="194"/>
    </row>
    <row r="9" spans="2:28" ht="13.5" thickBot="1">
      <c r="B9" s="87" t="s">
        <v>38</v>
      </c>
      <c r="C9" s="79">
        <f ca="1">SUM(W8:AB25)</f>
        <v>64</v>
      </c>
      <c r="D9" s="88"/>
      <c r="E9" s="18" t="s">
        <v>133</v>
      </c>
      <c r="F9" s="89">
        <v>1</v>
      </c>
      <c r="G9" s="83">
        <f ca="1">SUMIF(Sprint!$F$3:$F$1854,E9,Sprint!$AX$4:$AX$1854)</f>
        <v>0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16</v>
      </c>
      <c r="X9" s="193"/>
      <c r="Y9" s="193"/>
      <c r="Z9" s="193"/>
      <c r="AA9" s="193"/>
      <c r="AB9" s="194"/>
    </row>
    <row r="10" spans="2:28" ht="13.5" thickBot="1">
      <c r="B10" s="94" t="s">
        <v>39</v>
      </c>
      <c r="C10" s="95">
        <f ca="1">C8-C9</f>
        <v>-51</v>
      </c>
      <c r="D10" s="62"/>
      <c r="E10" s="18" t="s">
        <v>135</v>
      </c>
      <c r="F10" s="89">
        <v>1</v>
      </c>
      <c r="G10" s="83">
        <f ca="1">SUMIF(Sprint!$F$3:$F$1854,E10,Sprint!$AX$4:$AX$1854)</f>
        <v>5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16</v>
      </c>
      <c r="X10" s="193"/>
      <c r="Y10" s="193"/>
      <c r="Z10" s="193"/>
      <c r="AA10" s="193"/>
      <c r="AB10" s="194"/>
    </row>
    <row r="11" spans="2:28" ht="13.5" thickBot="1">
      <c r="B11" s="96"/>
      <c r="D11" s="97"/>
      <c r="E11" s="18" t="s">
        <v>134</v>
      </c>
      <c r="F11" s="89">
        <v>1</v>
      </c>
      <c r="G11" s="83">
        <f ca="1">SUMIF(Sprint!$F$3:$F$1854,E11,Sprint!$AX$4:$AX$1854)</f>
        <v>8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16</v>
      </c>
      <c r="X11" s="193"/>
      <c r="Y11" s="193"/>
      <c r="Z11" s="193"/>
      <c r="AA11" s="193"/>
      <c r="AB11" s="194"/>
    </row>
    <row r="12" spans="2:28" ht="13.5" thickBot="1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zoomScale="150" zoomScaleNormal="150" workbookViewId="0">
      <selection activeCell="H13" sqref="H13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>
        <v>1</v>
      </c>
    </row>
    <row r="5" spans="2:8" ht="13.5" thickBot="1"/>
    <row r="6" spans="2:8" ht="14.25" thickTop="1" thickBot="1">
      <c r="B6" s="129" t="s">
        <v>41</v>
      </c>
      <c r="C6" s="130" t="s">
        <v>96</v>
      </c>
      <c r="D6" s="131" t="s">
        <v>91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132</v>
      </c>
      <c r="D8" s="141" t="s">
        <v>132</v>
      </c>
      <c r="E8" s="141" t="s">
        <v>136</v>
      </c>
      <c r="F8" s="141" t="s">
        <v>136</v>
      </c>
      <c r="G8" s="141" t="s">
        <v>99</v>
      </c>
      <c r="H8" s="141" t="s">
        <v>92</v>
      </c>
    </row>
    <row r="9" spans="2:8">
      <c r="C9" s="140" t="s">
        <v>133</v>
      </c>
      <c r="D9" s="141" t="s">
        <v>133</v>
      </c>
      <c r="E9" s="141" t="s">
        <v>137</v>
      </c>
      <c r="F9" s="141" t="s">
        <v>137</v>
      </c>
      <c r="G9" s="141" t="s">
        <v>99</v>
      </c>
      <c r="H9" s="141" t="s">
        <v>92</v>
      </c>
    </row>
    <row r="10" spans="2:8" ht="11.25" customHeight="1">
      <c r="C10" s="140" t="s">
        <v>135</v>
      </c>
      <c r="D10" s="141" t="s">
        <v>135</v>
      </c>
      <c r="E10" s="141" t="s">
        <v>137</v>
      </c>
      <c r="F10" s="141" t="s">
        <v>137</v>
      </c>
      <c r="G10" s="141" t="s">
        <v>99</v>
      </c>
      <c r="H10" s="141" t="s">
        <v>92</v>
      </c>
    </row>
    <row r="11" spans="2:8">
      <c r="C11" s="140" t="s">
        <v>134</v>
      </c>
      <c r="D11" s="141" t="s">
        <v>134</v>
      </c>
      <c r="E11" s="141" t="s">
        <v>137</v>
      </c>
      <c r="F11" s="141" t="s">
        <v>137</v>
      </c>
      <c r="G11" s="141" t="s">
        <v>99</v>
      </c>
      <c r="H11" s="141" t="s">
        <v>92</v>
      </c>
    </row>
    <row r="12" spans="2:8">
      <c r="C12" s="140" t="s">
        <v>154</v>
      </c>
      <c r="D12" s="141" t="s">
        <v>154</v>
      </c>
      <c r="E12" s="141" t="s">
        <v>137</v>
      </c>
      <c r="F12" s="142" t="s">
        <v>137</v>
      </c>
      <c r="G12" s="141" t="s">
        <v>99</v>
      </c>
      <c r="H12" s="141" t="s">
        <v>92</v>
      </c>
    </row>
    <row r="13" spans="2:8">
      <c r="C13" s="140"/>
      <c r="D13" s="141"/>
      <c r="E13" s="141"/>
      <c r="F13" s="142"/>
      <c r="G13" s="141"/>
      <c r="H13" s="141"/>
    </row>
    <row r="14" spans="2:8">
      <c r="C14" s="140"/>
      <c r="D14" s="141"/>
      <c r="E14" s="141"/>
      <c r="F14" s="142"/>
      <c r="G14" s="141"/>
      <c r="H14" s="141"/>
    </row>
    <row r="15" spans="2:8">
      <c r="C15" s="140"/>
      <c r="D15" s="141"/>
      <c r="E15" s="141"/>
      <c r="F15" s="142"/>
      <c r="G15" s="141"/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A15" sqref="A15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102</v>
      </c>
      <c r="B1" s="173"/>
    </row>
    <row r="2" spans="1:3" ht="15">
      <c r="A2" s="174" t="s">
        <v>103</v>
      </c>
      <c r="B2" s="175">
        <f>COUNTIF(Sprint!$A$4:$A$92, "Feature")</f>
        <v>0</v>
      </c>
      <c r="C2" s="181">
        <f>B2/$B$6</f>
        <v>0</v>
      </c>
    </row>
    <row r="3" spans="1:3" ht="15">
      <c r="A3" s="174" t="s">
        <v>104</v>
      </c>
      <c r="B3" s="175">
        <f>COUNTIF(Sprint!$A$4:$A$92, "Tax")</f>
        <v>0</v>
      </c>
      <c r="C3" s="181">
        <f t="shared" ref="C3:C5" si="0">B3/$B$6</f>
        <v>0</v>
      </c>
    </row>
    <row r="4" spans="1:3" ht="15">
      <c r="A4" s="174" t="s">
        <v>105</v>
      </c>
      <c r="B4" s="175">
        <f>COUNTIF(Sprint!$A$4:$A$92, "Precondition")</f>
        <v>11</v>
      </c>
      <c r="C4" s="181">
        <f t="shared" si="0"/>
        <v>1</v>
      </c>
    </row>
    <row r="5" spans="1:3" ht="15">
      <c r="A5" s="174" t="s">
        <v>106</v>
      </c>
      <c r="B5" s="175">
        <f>COUNTIF(Sprint!$A$4:$A$92, "Spike")</f>
        <v>0</v>
      </c>
      <c r="C5" s="181">
        <f t="shared" si="0"/>
        <v>0</v>
      </c>
    </row>
    <row r="6" spans="1:3" ht="15">
      <c r="A6" s="176" t="s">
        <v>126</v>
      </c>
      <c r="B6" s="182">
        <f>SUM(B2:B5)</f>
        <v>11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107</v>
      </c>
      <c r="B8" s="175"/>
    </row>
    <row r="9" spans="1:3" ht="15">
      <c r="A9" s="174" t="s">
        <v>108</v>
      </c>
      <c r="B9" s="175">
        <f>COUNTIF(Sprint!$B$4:$B$209, "Data Model")</f>
        <v>4</v>
      </c>
      <c r="C9" s="181">
        <f>B9/$B$25</f>
        <v>0.36363636363636365</v>
      </c>
    </row>
    <row r="10" spans="1:3" ht="15">
      <c r="A10" s="174" t="s">
        <v>109</v>
      </c>
      <c r="B10" s="175">
        <f>COUNTIF(Sprint!$B$4:$B$209, "Integration Model")</f>
        <v>2</v>
      </c>
      <c r="C10" s="181">
        <f>B10/$B$25</f>
        <v>0.18181818181818182</v>
      </c>
    </row>
    <row r="11" spans="1:3" ht="15">
      <c r="A11" s="174" t="s">
        <v>110</v>
      </c>
      <c r="B11" s="175">
        <f>COUNTIF(Sprint!$B$4:$B$209, "System Frameworks")</f>
        <v>0</v>
      </c>
      <c r="C11" s="181">
        <f>B11/$B$25</f>
        <v>0</v>
      </c>
    </row>
    <row r="12" spans="1:3" ht="15">
      <c r="A12" s="174" t="s">
        <v>111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>
      <c r="A13" s="174" t="s">
        <v>112</v>
      </c>
      <c r="B13" s="175">
        <f>COUNTIF(Sprint!$B$4:$B$209, "Security")</f>
        <v>0</v>
      </c>
      <c r="C13" s="181">
        <f t="shared" si="1"/>
        <v>0</v>
      </c>
    </row>
    <row r="14" spans="1:3" ht="15">
      <c r="A14" s="174" t="s">
        <v>113</v>
      </c>
      <c r="B14" s="175">
        <f>COUNTIF(Sprint!$B$4:$B$209, "Cash Payment Tracking")</f>
        <v>0</v>
      </c>
      <c r="C14" s="181">
        <f t="shared" si="1"/>
        <v>0</v>
      </c>
    </row>
    <row r="15" spans="1:3" ht="15">
      <c r="A15" s="174" t="s">
        <v>114</v>
      </c>
      <c r="B15" s="175">
        <f>COUNTIF(Sprint!$B$4:$B$209, "Views")</f>
        <v>2</v>
      </c>
      <c r="C15" s="181">
        <f t="shared" si="1"/>
        <v>0.18181818181818182</v>
      </c>
    </row>
    <row r="16" spans="1:3" ht="15">
      <c r="A16" s="174" t="s">
        <v>115</v>
      </c>
      <c r="B16" s="175">
        <f>COUNTIF(Sprint!$B$4:$B$209, "Lookups")</f>
        <v>0</v>
      </c>
      <c r="C16" s="181">
        <f t="shared" si="1"/>
        <v>0</v>
      </c>
    </row>
    <row r="17" spans="1:3" ht="15">
      <c r="A17" s="174" t="s">
        <v>116</v>
      </c>
      <c r="B17" s="175">
        <f>COUNTIF(Sprint!$B$4:$B$209, "Detail screens")</f>
        <v>3</v>
      </c>
      <c r="C17" s="181">
        <f t="shared" si="1"/>
        <v>0.27272727272727271</v>
      </c>
    </row>
    <row r="18" spans="1:3" ht="15">
      <c r="A18" s="174" t="s">
        <v>117</v>
      </c>
      <c r="B18" s="175">
        <f>COUNTIF(Sprint!$B$4:$B$209, "Notifications")</f>
        <v>0</v>
      </c>
      <c r="C18" s="181">
        <f t="shared" si="1"/>
        <v>0</v>
      </c>
    </row>
    <row r="19" spans="1:3" ht="15">
      <c r="A19" s="174" t="s">
        <v>118</v>
      </c>
      <c r="B19" s="175">
        <f>COUNTIF(Sprint!$B$4:$B$209, "Reports")</f>
        <v>0</v>
      </c>
      <c r="C19" s="181">
        <f t="shared" si="1"/>
        <v>0</v>
      </c>
    </row>
    <row r="20" spans="1:3" ht="15">
      <c r="A20" s="174" t="s">
        <v>119</v>
      </c>
      <c r="B20" s="175">
        <f>COUNTIF(Sprint!$B$4:$B$209, "Installation Package")</f>
        <v>0</v>
      </c>
      <c r="C20" s="181">
        <f t="shared" si="1"/>
        <v>0</v>
      </c>
    </row>
    <row r="21" spans="1:3" ht="15">
      <c r="A21" s="174" t="s">
        <v>120</v>
      </c>
      <c r="B21" s="175">
        <f>COUNTIF(Sprint!$B$4:$B$209, "Deployment")</f>
        <v>0</v>
      </c>
      <c r="C21" s="181">
        <f t="shared" si="1"/>
        <v>0</v>
      </c>
    </row>
    <row r="22" spans="1:3" ht="15">
      <c r="A22" s="174" t="s">
        <v>121</v>
      </c>
      <c r="B22" s="175">
        <f>COUNTIF(Sprint!$B$4:$B$209, "Documentation")</f>
        <v>0</v>
      </c>
      <c r="C22" s="181">
        <f t="shared" si="1"/>
        <v>0</v>
      </c>
    </row>
    <row r="23" spans="1:3" ht="15">
      <c r="A23" s="174" t="s">
        <v>122</v>
      </c>
      <c r="B23" s="175">
        <f>COUNTIF(Sprint!$B$4:$B$209, "Testing")</f>
        <v>0</v>
      </c>
      <c r="C23" s="181">
        <f t="shared" si="1"/>
        <v>0</v>
      </c>
    </row>
    <row r="24" spans="1:3" ht="15">
      <c r="A24" s="174" t="s">
        <v>123</v>
      </c>
      <c r="B24" s="175">
        <f>COUNTIF(Sprint!$B$4:$B$209, "Project Mgt")</f>
        <v>0</v>
      </c>
      <c r="C24" s="181">
        <f t="shared" si="1"/>
        <v>0</v>
      </c>
    </row>
    <row r="25" spans="1:3" ht="15">
      <c r="A25" s="176" t="s">
        <v>126</v>
      </c>
      <c r="B25" s="180">
        <f>SUM(B9:B24)</f>
        <v>11</v>
      </c>
      <c r="C25" s="181">
        <f>SUM(C9:C24)</f>
        <v>1</v>
      </c>
    </row>
    <row r="27" spans="1:3" ht="15">
      <c r="A27" s="179" t="s">
        <v>125</v>
      </c>
    </row>
    <row r="28" spans="1:3" ht="15">
      <c r="A28" s="174" t="s">
        <v>127</v>
      </c>
      <c r="B28" s="175">
        <f ca="1">COUNTIF(Sprint!$G$4:$G$92, "Complete")</f>
        <v>7</v>
      </c>
      <c r="C28" s="181">
        <f ca="1">B28/$B$33</f>
        <v>0.1206896551724138</v>
      </c>
    </row>
    <row r="29" spans="1:3" ht="15">
      <c r="A29" s="174" t="s">
        <v>128</v>
      </c>
      <c r="B29" s="175">
        <f ca="1">COUNTIF(Sprint!$G$4:$G$92, "In Progress")</f>
        <v>4</v>
      </c>
      <c r="C29" s="181">
        <f t="shared" ref="C29:C32" ca="1" si="2">B29/$B$33</f>
        <v>6.8965517241379309E-2</v>
      </c>
    </row>
    <row r="30" spans="1:3" ht="15">
      <c r="A30" s="174" t="s">
        <v>129</v>
      </c>
      <c r="B30" s="175">
        <f ca="1">COUNTIF(Sprint!$G$4:$G$92, "Pending")</f>
        <v>47</v>
      </c>
      <c r="C30" s="181">
        <f t="shared" ca="1" si="2"/>
        <v>0.81034482758620685</v>
      </c>
    </row>
    <row r="31" spans="1:3" ht="15">
      <c r="A31" s="174" t="s">
        <v>124</v>
      </c>
      <c r="B31" s="175">
        <f ca="1">COUNTIF(Sprint!$G$4:$G$92, "Postponed")</f>
        <v>0</v>
      </c>
      <c r="C31" s="181">
        <f t="shared" ca="1" si="2"/>
        <v>0</v>
      </c>
    </row>
    <row r="32" spans="1:3" ht="15">
      <c r="A32" s="179" t="s">
        <v>130</v>
      </c>
      <c r="B32" s="175">
        <f ca="1">COUNTIF(Sprint!$G$4:$G$92, "Cancelled")</f>
        <v>0</v>
      </c>
      <c r="C32" s="181">
        <f t="shared" ca="1" si="2"/>
        <v>0</v>
      </c>
    </row>
    <row r="33" spans="1:3" ht="15">
      <c r="A33" s="184" t="s">
        <v>126</v>
      </c>
      <c r="B33" s="185">
        <f ca="1">SUM(B28:B32)</f>
        <v>58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Muhammad Irfan Arif</cp:lastModifiedBy>
  <cp:revision>1</cp:revision>
  <cp:lastPrinted>2005-08-15T09:18:22Z</cp:lastPrinted>
  <dcterms:created xsi:type="dcterms:W3CDTF">2005-01-26T21:50:47Z</dcterms:created>
  <dcterms:modified xsi:type="dcterms:W3CDTF">2012-10-16T03:41:15Z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